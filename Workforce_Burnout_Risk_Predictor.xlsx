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NTAGE\Documents\"/>
    </mc:Choice>
  </mc:AlternateContent>
  <xr:revisionPtr revIDLastSave="0" documentId="13_ncr:1_{0293F112-8BBD-4206-832C-D6324268A512}" xr6:coauthVersionLast="47" xr6:coauthVersionMax="47" xr10:uidLastSave="{00000000-0000-0000-0000-000000000000}"/>
  <bookViews>
    <workbookView xWindow="-108" yWindow="-108" windowWidth="23256" windowHeight="12456" xr2:uid="{1464114A-726D-40C6-B3A4-99F37B28D072}"/>
  </bookViews>
  <sheets>
    <sheet name="Burnout Track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F3" i="1"/>
  <c r="G3" i="1"/>
  <c r="H23" i="1"/>
  <c r="I23" i="1" s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H55" i="1" s="1"/>
  <c r="I55" i="1" s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E4" i="1"/>
  <c r="E5" i="1"/>
  <c r="E6" i="1"/>
  <c r="E7" i="1"/>
  <c r="E8" i="1"/>
  <c r="H8" i="1" s="1"/>
  <c r="I8" i="1" s="1"/>
  <c r="E9" i="1"/>
  <c r="H9" i="1" s="1"/>
  <c r="I9" i="1" s="1"/>
  <c r="E10" i="1"/>
  <c r="E11" i="1"/>
  <c r="E12" i="1"/>
  <c r="E13" i="1"/>
  <c r="E14" i="1"/>
  <c r="E15" i="1"/>
  <c r="E16" i="1"/>
  <c r="H16" i="1" s="1"/>
  <c r="I16" i="1" s="1"/>
  <c r="E17" i="1"/>
  <c r="H17" i="1" s="1"/>
  <c r="I17" i="1" s="1"/>
  <c r="E18" i="1"/>
  <c r="E19" i="1"/>
  <c r="E20" i="1"/>
  <c r="E21" i="1"/>
  <c r="E22" i="1"/>
  <c r="E23" i="1"/>
  <c r="E24" i="1"/>
  <c r="H24" i="1" s="1"/>
  <c r="I24" i="1" s="1"/>
  <c r="E25" i="1"/>
  <c r="H25" i="1" s="1"/>
  <c r="I25" i="1" s="1"/>
  <c r="E26" i="1"/>
  <c r="E27" i="1"/>
  <c r="E28" i="1"/>
  <c r="E29" i="1"/>
  <c r="E30" i="1"/>
  <c r="E31" i="1"/>
  <c r="E32" i="1"/>
  <c r="H32" i="1" s="1"/>
  <c r="I32" i="1" s="1"/>
  <c r="E33" i="1"/>
  <c r="H33" i="1" s="1"/>
  <c r="I33" i="1" s="1"/>
  <c r="E34" i="1"/>
  <c r="E35" i="1"/>
  <c r="E36" i="1"/>
  <c r="E37" i="1"/>
  <c r="E38" i="1"/>
  <c r="E39" i="1"/>
  <c r="E40" i="1"/>
  <c r="H40" i="1" s="1"/>
  <c r="I40" i="1" s="1"/>
  <c r="E41" i="1"/>
  <c r="H41" i="1" s="1"/>
  <c r="I41" i="1" s="1"/>
  <c r="E42" i="1"/>
  <c r="E43" i="1"/>
  <c r="E44" i="1"/>
  <c r="E45" i="1"/>
  <c r="H45" i="1" s="1"/>
  <c r="I45" i="1" s="1"/>
  <c r="E46" i="1"/>
  <c r="E47" i="1"/>
  <c r="E48" i="1"/>
  <c r="H48" i="1" s="1"/>
  <c r="I48" i="1" s="1"/>
  <c r="E49" i="1"/>
  <c r="H49" i="1" s="1"/>
  <c r="I49" i="1" s="1"/>
  <c r="E50" i="1"/>
  <c r="E51" i="1"/>
  <c r="E52" i="1"/>
  <c r="E53" i="1"/>
  <c r="H53" i="1" s="1"/>
  <c r="I53" i="1" s="1"/>
  <c r="E54" i="1"/>
  <c r="E55" i="1"/>
  <c r="E56" i="1"/>
  <c r="H56" i="1" s="1"/>
  <c r="I56" i="1" s="1"/>
  <c r="E57" i="1"/>
  <c r="H57" i="1" s="1"/>
  <c r="I57" i="1" s="1"/>
  <c r="E58" i="1"/>
  <c r="E59" i="1"/>
  <c r="E60" i="1"/>
  <c r="E61" i="1"/>
  <c r="H61" i="1" s="1"/>
  <c r="I61" i="1" s="1"/>
  <c r="E62" i="1"/>
  <c r="E63" i="1"/>
  <c r="E64" i="1"/>
  <c r="H64" i="1" s="1"/>
  <c r="I64" i="1" s="1"/>
  <c r="E65" i="1"/>
  <c r="H65" i="1" s="1"/>
  <c r="I65" i="1" s="1"/>
  <c r="E66" i="1"/>
  <c r="E67" i="1"/>
  <c r="E68" i="1"/>
  <c r="E69" i="1"/>
  <c r="H69" i="1" s="1"/>
  <c r="I69" i="1" s="1"/>
  <c r="E70" i="1"/>
  <c r="E71" i="1"/>
  <c r="E72" i="1"/>
  <c r="H72" i="1" s="1"/>
  <c r="I72" i="1" s="1"/>
  <c r="E73" i="1"/>
  <c r="H73" i="1" s="1"/>
  <c r="I73" i="1" s="1"/>
  <c r="E74" i="1"/>
  <c r="E75" i="1"/>
  <c r="E76" i="1"/>
  <c r="E77" i="1"/>
  <c r="H77" i="1" s="1"/>
  <c r="I77" i="1" s="1"/>
  <c r="E78" i="1"/>
  <c r="E79" i="1"/>
  <c r="E80" i="1"/>
  <c r="H80" i="1" s="1"/>
  <c r="I80" i="1" s="1"/>
  <c r="E81" i="1"/>
  <c r="H81" i="1" s="1"/>
  <c r="I81" i="1" s="1"/>
  <c r="E82" i="1"/>
  <c r="E83" i="1"/>
  <c r="E84" i="1"/>
  <c r="H79" i="1" l="1"/>
  <c r="I79" i="1" s="1"/>
  <c r="H63" i="1"/>
  <c r="I63" i="1" s="1"/>
  <c r="H47" i="1"/>
  <c r="I47" i="1" s="1"/>
  <c r="H39" i="1"/>
  <c r="I39" i="1" s="1"/>
  <c r="H31" i="1"/>
  <c r="I31" i="1" s="1"/>
  <c r="H15" i="1"/>
  <c r="I15" i="1" s="1"/>
  <c r="H7" i="1"/>
  <c r="I7" i="1" s="1"/>
  <c r="H71" i="1"/>
  <c r="I71" i="1" s="1"/>
  <c r="H78" i="1"/>
  <c r="I78" i="1" s="1"/>
  <c r="H70" i="1"/>
  <c r="I70" i="1" s="1"/>
  <c r="H3" i="1"/>
  <c r="I3" i="1" s="1"/>
  <c r="H82" i="1"/>
  <c r="I82" i="1" s="1"/>
  <c r="H74" i="1"/>
  <c r="I74" i="1" s="1"/>
  <c r="H66" i="1"/>
  <c r="I66" i="1" s="1"/>
  <c r="H58" i="1"/>
  <c r="I58" i="1" s="1"/>
  <c r="H50" i="1"/>
  <c r="I50" i="1" s="1"/>
  <c r="H42" i="1"/>
  <c r="I42" i="1" s="1"/>
  <c r="H34" i="1"/>
  <c r="I34" i="1" s="1"/>
  <c r="H26" i="1"/>
  <c r="I26" i="1" s="1"/>
  <c r="H18" i="1"/>
  <c r="I18" i="1" s="1"/>
  <c r="H10" i="1"/>
  <c r="I10" i="1" s="1"/>
  <c r="H62" i="1"/>
  <c r="I62" i="1" s="1"/>
  <c r="H54" i="1"/>
  <c r="I54" i="1" s="1"/>
  <c r="H46" i="1"/>
  <c r="I46" i="1" s="1"/>
  <c r="H38" i="1"/>
  <c r="I38" i="1" s="1"/>
  <c r="H30" i="1"/>
  <c r="I30" i="1" s="1"/>
  <c r="H22" i="1"/>
  <c r="I22" i="1" s="1"/>
  <c r="H14" i="1"/>
  <c r="I14" i="1" s="1"/>
  <c r="H6" i="1"/>
  <c r="I6" i="1" s="1"/>
  <c r="H84" i="1"/>
  <c r="I84" i="1" s="1"/>
  <c r="H76" i="1"/>
  <c r="I76" i="1" s="1"/>
  <c r="H68" i="1"/>
  <c r="I68" i="1" s="1"/>
  <c r="H60" i="1"/>
  <c r="I60" i="1" s="1"/>
  <c r="H52" i="1"/>
  <c r="I52" i="1" s="1"/>
  <c r="H44" i="1"/>
  <c r="I44" i="1" s="1"/>
  <c r="H36" i="1"/>
  <c r="I36" i="1" s="1"/>
  <c r="H28" i="1"/>
  <c r="I28" i="1" s="1"/>
  <c r="H20" i="1"/>
  <c r="I20" i="1" s="1"/>
  <c r="H12" i="1"/>
  <c r="I12" i="1" s="1"/>
  <c r="H4" i="1"/>
  <c r="I4" i="1" s="1"/>
  <c r="H37" i="1"/>
  <c r="I37" i="1" s="1"/>
  <c r="H29" i="1"/>
  <c r="I29" i="1" s="1"/>
  <c r="H21" i="1"/>
  <c r="I21" i="1" s="1"/>
  <c r="H13" i="1"/>
  <c r="I13" i="1" s="1"/>
  <c r="H5" i="1"/>
  <c r="I5" i="1" s="1"/>
  <c r="H83" i="1"/>
  <c r="I83" i="1" s="1"/>
  <c r="H75" i="1"/>
  <c r="I75" i="1" s="1"/>
  <c r="H67" i="1"/>
  <c r="I67" i="1" s="1"/>
  <c r="H59" i="1"/>
  <c r="I59" i="1" s="1"/>
  <c r="H51" i="1"/>
  <c r="I51" i="1" s="1"/>
  <c r="H43" i="1"/>
  <c r="I43" i="1" s="1"/>
  <c r="H35" i="1"/>
  <c r="I35" i="1" s="1"/>
  <c r="H27" i="1"/>
  <c r="I27" i="1" s="1"/>
  <c r="H19" i="1"/>
  <c r="I19" i="1" s="1"/>
  <c r="H11" i="1"/>
  <c r="I11" i="1" s="1"/>
  <c r="L7" i="1" l="1"/>
  <c r="L6" i="1"/>
  <c r="L5" i="1"/>
  <c r="L8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32CE356-68FD-471F-A8D6-64AC43CC071A}" keepAlive="1" name="Query - burnout_data_82" description="Connection to the 'burnout_data_82' query in the workbook." type="5" refreshedVersion="0" background="1">
    <dbPr connection="Provider=Microsoft.Mashup.OleDb.1;Data Source=$Workbook$;Location=burnout_data_82;Extended Properties=&quot;&quot;" command="SELECT * FROM [burnout_data_82]"/>
  </connection>
</connections>
</file>

<file path=xl/sharedStrings.xml><?xml version="1.0" encoding="utf-8"?>
<sst xmlns="http://schemas.openxmlformats.org/spreadsheetml/2006/main" count="122" uniqueCount="119">
  <si>
    <t>Employee Name</t>
  </si>
  <si>
    <t>Working Hours (per week)</t>
  </si>
  <si>
    <t>Overtime Days (per month)</t>
  </si>
  <si>
    <t>Weekend Work Days (per month)</t>
  </si>
  <si>
    <t>Hours Score</t>
  </si>
  <si>
    <t>Overtime Score</t>
  </si>
  <si>
    <t>Weekend Score</t>
  </si>
  <si>
    <t>Total Score</t>
  </si>
  <si>
    <t>Burnout Risk</t>
  </si>
  <si>
    <t>Jahangir Islam</t>
  </si>
  <si>
    <t>Rabeya Sarkar</t>
  </si>
  <si>
    <t>Manik Molla</t>
  </si>
  <si>
    <t>Lovely Islam</t>
  </si>
  <si>
    <t>Shahana Akhtar</t>
  </si>
  <si>
    <t>Beauty Chowdhury</t>
  </si>
  <si>
    <t>Farida Molla</t>
  </si>
  <si>
    <t>Rahim Pramanik</t>
  </si>
  <si>
    <t>Bakul Rahman</t>
  </si>
  <si>
    <t>Ashraf Molla</t>
  </si>
  <si>
    <t>Shahidul Miah</t>
  </si>
  <si>
    <t>Manik Islam</t>
  </si>
  <si>
    <t>Belal Pramanik</t>
  </si>
  <si>
    <t>Razia Molla</t>
  </si>
  <si>
    <t>Khadiza Talukder</t>
  </si>
  <si>
    <t>Shahnaz Mondol</t>
  </si>
  <si>
    <t>Shahin Rahman</t>
  </si>
  <si>
    <t>Sultana Talukder</t>
  </si>
  <si>
    <t>Roksana Hawladar</t>
  </si>
  <si>
    <t>Belal Talukder</t>
  </si>
  <si>
    <t>Rahim Ahmed</t>
  </si>
  <si>
    <t>Rofiqul Rahman</t>
  </si>
  <si>
    <t>Rabeya Akhtar</t>
  </si>
  <si>
    <t>Khadiza Sheikh</t>
  </si>
  <si>
    <t>Sohel Sheikh</t>
  </si>
  <si>
    <t>Jesmin Pramanik</t>
  </si>
  <si>
    <t>Aminul Begum</t>
  </si>
  <si>
    <t>Mizanur Ahmed</t>
  </si>
  <si>
    <t>Lovely Hawladar</t>
  </si>
  <si>
    <t>Yasin Akter</t>
  </si>
  <si>
    <t>Iqbal Ahmed</t>
  </si>
  <si>
    <t>Nazrul Rahman</t>
  </si>
  <si>
    <t>Asad Uddin</t>
  </si>
  <si>
    <t>Farida Khan</t>
  </si>
  <si>
    <t>Aminul Hawladar</t>
  </si>
  <si>
    <t>Rina Sheikh</t>
  </si>
  <si>
    <t>Sultana Akhtar</t>
  </si>
  <si>
    <t>Beauty Talukder</t>
  </si>
  <si>
    <t>Ferdousi Talukder</t>
  </si>
  <si>
    <t>Morsheda Alam</t>
  </si>
  <si>
    <t>Rahim Islam</t>
  </si>
  <si>
    <t>Alauddin Khan</t>
  </si>
  <si>
    <t>Roksana Pramanik</t>
  </si>
  <si>
    <t>Hosne Hossain</t>
  </si>
  <si>
    <t>Morsheda Islam</t>
  </si>
  <si>
    <t>Mostafa Alam</t>
  </si>
  <si>
    <t>Hosne Pramanik</t>
  </si>
  <si>
    <t>Manik Sheikh</t>
  </si>
  <si>
    <t>Tofazzol Molla</t>
  </si>
  <si>
    <t>Nasima Begum</t>
  </si>
  <si>
    <t>Aminul Sheikh</t>
  </si>
  <si>
    <t>Halima Khan</t>
  </si>
  <si>
    <t>Nargis Pramanik</t>
  </si>
  <si>
    <t>Jamal Khan</t>
  </si>
  <si>
    <t>Nargis Sheikh</t>
  </si>
  <si>
    <t>Rina Ahmed</t>
  </si>
  <si>
    <t>Iqbal Chowdhury</t>
  </si>
  <si>
    <t>Yasin Miah</t>
  </si>
  <si>
    <t>Jahanara Akter</t>
  </si>
  <si>
    <t>Poppy Alam</t>
  </si>
  <si>
    <t>Shirin Talukder</t>
  </si>
  <si>
    <t>Khaleda Rahman</t>
  </si>
  <si>
    <t>Shahidul Molla</t>
  </si>
  <si>
    <t>Hannan Miah</t>
  </si>
  <si>
    <t>Jahanara Sheikh</t>
  </si>
  <si>
    <t>Sultana Hossain</t>
  </si>
  <si>
    <t>Mahbub Molla</t>
  </si>
  <si>
    <t>Sumi Akhtar</t>
  </si>
  <si>
    <t>Babul Bhuiyan</t>
  </si>
  <si>
    <t>Rahim Sarkar</t>
  </si>
  <si>
    <t>Sultana Mondol</t>
  </si>
  <si>
    <t>Jahanara Hawladar</t>
  </si>
  <si>
    <t>Nazrul Bhuiyan</t>
  </si>
  <si>
    <t>Nazrul Chowdhury</t>
  </si>
  <si>
    <t>Rabeya Bhuiyan</t>
  </si>
  <si>
    <t>Tania Talukder</t>
  </si>
  <si>
    <t>Parveen Talukder</t>
  </si>
  <si>
    <t>Lutfor Sheikh</t>
  </si>
  <si>
    <t>Shahin Hawladar</t>
  </si>
  <si>
    <t>Bakul Uddin</t>
  </si>
  <si>
    <t>Kamal Akhtar</t>
  </si>
  <si>
    <t>Tania Akter</t>
  </si>
  <si>
    <t>Burnout Risk Summary</t>
  </si>
  <si>
    <t>Low Risk</t>
  </si>
  <si>
    <t>Medium Risk</t>
  </si>
  <si>
    <t>High Risk</t>
  </si>
  <si>
    <t>Scoring Rules</t>
  </si>
  <si>
    <t>≤ 45 hrs → 0 pts</t>
  </si>
  <si>
    <t>46–55 hrs → 1 pt</t>
  </si>
  <si>
    <t>&gt; 55 hrs → 2 pts</t>
  </si>
  <si>
    <t>0–5 days → 0 pts</t>
  </si>
  <si>
    <t>6–15 days → 1 pt</t>
  </si>
  <si>
    <t>&gt; 15 days → 2 pts</t>
  </si>
  <si>
    <t>0 days → 0 pts</t>
  </si>
  <si>
    <t>1–3 days → 1 pt</t>
  </si>
  <si>
    <t>&gt; 3 days → 2 pts</t>
  </si>
  <si>
    <t>Total Score → Burnout Risk</t>
  </si>
  <si>
    <t>0–2 → Low</t>
  </si>
  <si>
    <t>3–4 → Medium</t>
  </si>
  <si>
    <t>5–6 → High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</si>
  <si>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</si>
  <si>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</si>
  <si>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</si>
  <si>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</si>
  <si>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</si>
  <si>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</si>
  <si>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</si>
  <si>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</si>
  <si>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</si>
  <si>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Total Employee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</si>
</sst>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3" borderId="0" xfId="0" applyFont="1" applyFill="1"/>
    <xf numFmtId="0" fontId="1" fillId="3" borderId="1" xfId="0" applyFont="1" applyFill="1" applyBorder="1" applyAlignment="1">
      <alignment horizontal="center"/>
    </xf>
    <xf numFmtId="0" fontId="0" fillId="0" borderId="1" xfId="0" applyBorder="1"/>
    <xf numFmtId="0" fontId="0" fillId="0" borderId="0" xfId="0" applyBorder="1"/>
    <xf numFmtId="0" fontId="1" fillId="4" borderId="1" xfId="0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/>
    </xf>
    <xf numFmtId="0" fontId="1" fillId="2" borderId="0" xfId="0" applyFont="1" applyFill="1" applyBorder="1" applyAlignment="1"/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C833A3-B509-4777-B99D-1BE849C45434}" name="Table4" displayName="Table4" ref="A2:I84" totalsRowShown="0">
  <autoFilter ref="A2:I84" xr:uid="{D7C833A3-B509-4777-B99D-1BE849C45434}"/>
  <tableColumns count="9">
    <tableColumn id="1" xr3:uid="{88984C14-5E5E-4B77-9A2B-A0F82EE395F2}" name="Column1"/>
    <tableColumn id="2" xr3:uid="{80DD54B3-00CE-48D7-A467-712B515F84DB}" name="Column2"/>
    <tableColumn id="3" xr3:uid="{4DCD2093-1693-4A7B-A02F-E3F21735967E}" name="Column3"/>
    <tableColumn id="4" xr3:uid="{2D0EB03F-46EE-4C34-9B03-87DB60231628}" name="Column4"/>
    <tableColumn id="5" xr3:uid="{2612DF9B-3309-4B0C-89AB-25DDB1217680}" name="Column5">
      <calculatedColumnFormula>IF(B3&lt;=45,0,IF(B3&lt;=55,1,2))</calculatedColumnFormula>
    </tableColumn>
    <tableColumn id="6" xr3:uid="{AE9859A7-B8B8-44D5-9B04-2B3D4089C257}" name="Column6">
      <calculatedColumnFormula>IF(C3&lt;=5,0,IF(C3&lt;=15,1,2))</calculatedColumnFormula>
    </tableColumn>
    <tableColumn id="7" xr3:uid="{C3BABC02-D334-4678-9842-6B79AEA589FE}" name="Column7">
      <calculatedColumnFormula>IF(D3&gt;3,2,IF(D3&gt;=1,1,0))</calculatedColumnFormula>
    </tableColumn>
    <tableColumn id="8" xr3:uid="{92D6AED2-B26D-4EB3-9EB6-6D7C0DA4F937}" name="Column8">
      <calculatedColumnFormula>SUM(E3:G3)</calculatedColumnFormula>
    </tableColumn>
    <tableColumn id="9" xr3:uid="{DB4A3981-2409-4CA1-B857-42CE475C32AD}" name="Column9">
      <calculatedColumnFormula>IF(H3&lt;=2,"Low",IF(H3&lt;=4,"Medium","High"))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207DB-FF3E-4AB5-86D0-A1A0A211FC1B}">
  <dimension ref="A1:M84"/>
  <sheetViews>
    <sheetView tabSelected="1" zoomScale="135" zoomScaleNormal="135" workbookViewId="0">
      <pane ySplit="1" topLeftCell="A54" activePane="bottomLeft" state="frozen"/>
      <selection pane="bottomLeft" activeCell="Z30" sqref="Z30"/>
    </sheetView>
  </sheetViews>
  <sheetFormatPr defaultRowHeight="14.4" x14ac:dyDescent="0.3"/>
  <cols>
    <col min="1" max="1" width="14.88671875" bestFit="1" customWidth="1"/>
    <col min="2" max="2" width="22.6640625" bestFit="1" customWidth="1"/>
    <col min="3" max="3" width="23.6640625" bestFit="1" customWidth="1"/>
    <col min="4" max="4" width="28.77734375" bestFit="1" customWidth="1"/>
    <col min="5" max="5" width="11.109375" bestFit="1" customWidth="1"/>
    <col min="6" max="6" width="14" bestFit="1" customWidth="1"/>
    <col min="7" max="7" width="14.109375" bestFit="1" customWidth="1"/>
    <col min="8" max="8" width="10.33203125" bestFit="1" customWidth="1"/>
    <col min="9" max="9" width="11.6640625" bestFit="1" customWidth="1"/>
    <col min="11" max="11" width="29.33203125" bestFit="1" customWidth="1"/>
    <col min="13" max="13" width="23.5546875" bestFit="1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7"/>
      <c r="L1" s="7"/>
    </row>
    <row r="2" spans="1:13" hidden="1" x14ac:dyDescent="0.3">
      <c r="A2" t="s">
        <v>109</v>
      </c>
      <c r="B2" t="s">
        <v>110</v>
      </c>
      <c r="C2" t="s">
        <v>111</v>
      </c>
      <c r="D2" t="s">
        <v>112</v>
      </c>
      <c r="E2" t="s">
        <v>113</v>
      </c>
      <c r="F2" t="s">
        <v>114</v>
      </c>
      <c r="G2" t="s">
        <v>115</v>
      </c>
      <c r="H2" t="s">
        <v>116</v>
      </c>
      <c r="I2" t="s">
        <v>117</v>
      </c>
      <c r="K2" s="4"/>
      <c r="L2" s="4"/>
    </row>
    <row r="3" spans="1:13" x14ac:dyDescent="0.3">
      <c r="A3" t="s">
        <v>9</v>
      </c>
      <c r="B3">
        <v>53</v>
      </c>
      <c r="C3">
        <v>6</v>
      </c>
      <c r="D3">
        <v>1</v>
      </c>
      <c r="E3">
        <f>IF(B3&lt;=45,0,IF(B3&lt;=55,1,2))</f>
        <v>1</v>
      </c>
      <c r="F3">
        <f>IF(C3&lt;=5,0,IF(C3&lt;=15,1,2))</f>
        <v>1</v>
      </c>
      <c r="G3">
        <f>IF(D3&gt;3,2,IF(D3&gt;=1,1,0))</f>
        <v>1</v>
      </c>
      <c r="H3">
        <f>SUM(E3:G3)</f>
        <v>3</v>
      </c>
      <c r="I3" t="str">
        <f>IF(H3&lt;=2,"Low",IF(H3&lt;=4,"Medium","High"))</f>
        <v>Medium</v>
      </c>
      <c r="K3" s="4"/>
      <c r="L3" s="4"/>
    </row>
    <row r="4" spans="1:13" x14ac:dyDescent="0.3">
      <c r="A4" t="s">
        <v>10</v>
      </c>
      <c r="B4">
        <v>44</v>
      </c>
      <c r="C4">
        <v>0</v>
      </c>
      <c r="D4">
        <v>0</v>
      </c>
      <c r="E4">
        <f t="shared" ref="E4:E67" si="0">IF(B4&lt;=45,0,IF(B4&lt;=55,1,2))</f>
        <v>0</v>
      </c>
      <c r="F4">
        <f t="shared" ref="F4:F67" si="1">IF(C4&lt;=5,0,IF(C4&lt;=15,1,2))</f>
        <v>0</v>
      </c>
      <c r="G4">
        <f t="shared" ref="G4:G67" si="2">IF(D4&gt;3,2,IF(D4&gt;=1,1,0))</f>
        <v>0</v>
      </c>
      <c r="H4">
        <f t="shared" ref="H4:H67" si="3">SUM(E4:G4)</f>
        <v>0</v>
      </c>
      <c r="I4" t="str">
        <f t="shared" ref="I4:I67" si="4">IF(H4&lt;=2,"Low",IF(H4&lt;=4,"Medium","High"))</f>
        <v>Low</v>
      </c>
      <c r="K4" s="2" t="s">
        <v>91</v>
      </c>
      <c r="L4" s="2"/>
    </row>
    <row r="5" spans="1:13" x14ac:dyDescent="0.3">
      <c r="A5" t="s">
        <v>11</v>
      </c>
      <c r="B5">
        <v>61</v>
      </c>
      <c r="C5">
        <v>17</v>
      </c>
      <c r="D5">
        <v>6</v>
      </c>
      <c r="E5">
        <f t="shared" si="0"/>
        <v>2</v>
      </c>
      <c r="F5">
        <f t="shared" si="1"/>
        <v>2</v>
      </c>
      <c r="G5">
        <f t="shared" si="2"/>
        <v>2</v>
      </c>
      <c r="H5">
        <f t="shared" si="3"/>
        <v>6</v>
      </c>
      <c r="I5" t="str">
        <f t="shared" si="4"/>
        <v>High</v>
      </c>
      <c r="K5" s="3" t="s">
        <v>92</v>
      </c>
      <c r="L5" s="3">
        <f>COUNTIF(I3:I84,"Low")</f>
        <v>28</v>
      </c>
    </row>
    <row r="6" spans="1:13" x14ac:dyDescent="0.3">
      <c r="A6" t="s">
        <v>12</v>
      </c>
      <c r="B6">
        <v>48</v>
      </c>
      <c r="C6">
        <v>8</v>
      </c>
      <c r="D6">
        <v>2</v>
      </c>
      <c r="E6">
        <f t="shared" si="0"/>
        <v>1</v>
      </c>
      <c r="F6">
        <f t="shared" si="1"/>
        <v>1</v>
      </c>
      <c r="G6">
        <f t="shared" si="2"/>
        <v>1</v>
      </c>
      <c r="H6">
        <f t="shared" si="3"/>
        <v>3</v>
      </c>
      <c r="I6" t="str">
        <f t="shared" si="4"/>
        <v>Medium</v>
      </c>
      <c r="K6" s="3" t="s">
        <v>93</v>
      </c>
      <c r="L6" s="3">
        <f>COUNTIF(I3:I84,"Medium")</f>
        <v>28</v>
      </c>
    </row>
    <row r="7" spans="1:13" x14ac:dyDescent="0.3">
      <c r="A7" t="s">
        <v>13</v>
      </c>
      <c r="B7">
        <v>53</v>
      </c>
      <c r="C7">
        <v>8</v>
      </c>
      <c r="D7">
        <v>2</v>
      </c>
      <c r="E7">
        <f t="shared" si="0"/>
        <v>1</v>
      </c>
      <c r="F7">
        <f t="shared" si="1"/>
        <v>1</v>
      </c>
      <c r="G7">
        <f t="shared" si="2"/>
        <v>1</v>
      </c>
      <c r="H7">
        <f t="shared" si="3"/>
        <v>3</v>
      </c>
      <c r="I7" t="str">
        <f t="shared" si="4"/>
        <v>Medium</v>
      </c>
      <c r="K7" s="3" t="s">
        <v>94</v>
      </c>
      <c r="L7" s="3">
        <f>COUNTIF(I3:I84,"High")</f>
        <v>26</v>
      </c>
    </row>
    <row r="8" spans="1:13" x14ac:dyDescent="0.3">
      <c r="A8" t="s">
        <v>14</v>
      </c>
      <c r="B8">
        <v>64</v>
      </c>
      <c r="C8">
        <v>16</v>
      </c>
      <c r="D8">
        <v>1</v>
      </c>
      <c r="E8">
        <f t="shared" si="0"/>
        <v>2</v>
      </c>
      <c r="F8">
        <f t="shared" si="1"/>
        <v>2</v>
      </c>
      <c r="G8">
        <f t="shared" si="2"/>
        <v>1</v>
      </c>
      <c r="H8">
        <f t="shared" si="3"/>
        <v>5</v>
      </c>
      <c r="I8" t="str">
        <f t="shared" si="4"/>
        <v>High</v>
      </c>
      <c r="K8" s="3" t="s">
        <v>118</v>
      </c>
      <c r="L8" s="3">
        <f>SUM(L5:L7)</f>
        <v>82</v>
      </c>
    </row>
    <row r="9" spans="1:13" x14ac:dyDescent="0.3">
      <c r="A9" t="s">
        <v>15</v>
      </c>
      <c r="B9">
        <v>60</v>
      </c>
      <c r="C9">
        <v>17</v>
      </c>
      <c r="D9">
        <v>5</v>
      </c>
      <c r="E9">
        <f t="shared" si="0"/>
        <v>2</v>
      </c>
      <c r="F9">
        <f t="shared" si="1"/>
        <v>2</v>
      </c>
      <c r="G9">
        <f t="shared" si="2"/>
        <v>2</v>
      </c>
      <c r="H9">
        <f t="shared" si="3"/>
        <v>6</v>
      </c>
      <c r="I9" t="str">
        <f t="shared" si="4"/>
        <v>High</v>
      </c>
    </row>
    <row r="10" spans="1:13" x14ac:dyDescent="0.3">
      <c r="A10" t="s">
        <v>16</v>
      </c>
      <c r="B10">
        <v>43</v>
      </c>
      <c r="C10">
        <v>0</v>
      </c>
      <c r="D10">
        <v>0</v>
      </c>
      <c r="E10">
        <f t="shared" si="0"/>
        <v>0</v>
      </c>
      <c r="F10">
        <f t="shared" si="1"/>
        <v>0</v>
      </c>
      <c r="G10">
        <f t="shared" si="2"/>
        <v>0</v>
      </c>
      <c r="H10">
        <f t="shared" si="3"/>
        <v>0</v>
      </c>
      <c r="I10" t="str">
        <f t="shared" si="4"/>
        <v>Low</v>
      </c>
      <c r="K10" s="4"/>
    </row>
    <row r="11" spans="1:13" x14ac:dyDescent="0.3">
      <c r="A11" t="s">
        <v>17</v>
      </c>
      <c r="B11">
        <v>48</v>
      </c>
      <c r="C11">
        <v>14</v>
      </c>
      <c r="D11">
        <v>1</v>
      </c>
      <c r="E11">
        <f t="shared" si="0"/>
        <v>1</v>
      </c>
      <c r="F11">
        <f t="shared" si="1"/>
        <v>1</v>
      </c>
      <c r="G11">
        <f t="shared" si="2"/>
        <v>1</v>
      </c>
      <c r="H11">
        <f t="shared" si="3"/>
        <v>3</v>
      </c>
      <c r="I11" t="str">
        <f t="shared" si="4"/>
        <v>Medium</v>
      </c>
      <c r="K11" s="6" t="s">
        <v>95</v>
      </c>
      <c r="L11" s="6"/>
      <c r="M11" s="6"/>
    </row>
    <row r="12" spans="1:13" x14ac:dyDescent="0.3">
      <c r="A12" t="s">
        <v>18</v>
      </c>
      <c r="B12">
        <v>62</v>
      </c>
      <c r="C12">
        <v>23</v>
      </c>
      <c r="D12">
        <v>5</v>
      </c>
      <c r="E12">
        <f t="shared" si="0"/>
        <v>2</v>
      </c>
      <c r="F12">
        <f t="shared" si="1"/>
        <v>2</v>
      </c>
      <c r="G12">
        <f t="shared" si="2"/>
        <v>2</v>
      </c>
      <c r="H12">
        <f t="shared" si="3"/>
        <v>6</v>
      </c>
      <c r="I12" t="str">
        <f t="shared" si="4"/>
        <v>High</v>
      </c>
    </row>
    <row r="13" spans="1:13" x14ac:dyDescent="0.3">
      <c r="A13" t="s">
        <v>19</v>
      </c>
      <c r="B13">
        <v>60</v>
      </c>
      <c r="C13">
        <v>23</v>
      </c>
      <c r="D13">
        <v>7</v>
      </c>
      <c r="E13">
        <f t="shared" si="0"/>
        <v>2</v>
      </c>
      <c r="F13">
        <f t="shared" si="1"/>
        <v>2</v>
      </c>
      <c r="G13">
        <f t="shared" si="2"/>
        <v>2</v>
      </c>
      <c r="H13">
        <f t="shared" si="3"/>
        <v>6</v>
      </c>
      <c r="I13" t="str">
        <f t="shared" si="4"/>
        <v>High</v>
      </c>
      <c r="K13" s="5" t="s">
        <v>1</v>
      </c>
      <c r="M13" s="5" t="s">
        <v>2</v>
      </c>
    </row>
    <row r="14" spans="1:13" x14ac:dyDescent="0.3">
      <c r="A14" t="s">
        <v>20</v>
      </c>
      <c r="B14">
        <v>54</v>
      </c>
      <c r="C14">
        <v>9</v>
      </c>
      <c r="D14">
        <v>1</v>
      </c>
      <c r="E14">
        <f t="shared" si="0"/>
        <v>1</v>
      </c>
      <c r="F14">
        <f t="shared" si="1"/>
        <v>1</v>
      </c>
      <c r="G14">
        <f t="shared" si="2"/>
        <v>1</v>
      </c>
      <c r="H14">
        <f t="shared" si="3"/>
        <v>3</v>
      </c>
      <c r="I14" t="str">
        <f t="shared" si="4"/>
        <v>Medium</v>
      </c>
      <c r="K14" s="3" t="s">
        <v>96</v>
      </c>
      <c r="M14" s="3" t="s">
        <v>99</v>
      </c>
    </row>
    <row r="15" spans="1:13" x14ac:dyDescent="0.3">
      <c r="A15" t="s">
        <v>21</v>
      </c>
      <c r="B15">
        <v>56</v>
      </c>
      <c r="C15">
        <v>18</v>
      </c>
      <c r="D15">
        <v>4</v>
      </c>
      <c r="E15">
        <f t="shared" si="0"/>
        <v>2</v>
      </c>
      <c r="F15">
        <f t="shared" si="1"/>
        <v>2</v>
      </c>
      <c r="G15">
        <f t="shared" si="2"/>
        <v>2</v>
      </c>
      <c r="H15">
        <f t="shared" si="3"/>
        <v>6</v>
      </c>
      <c r="I15" t="str">
        <f t="shared" si="4"/>
        <v>High</v>
      </c>
      <c r="K15" s="3" t="s">
        <v>97</v>
      </c>
      <c r="M15" s="3" t="s">
        <v>100</v>
      </c>
    </row>
    <row r="16" spans="1:13" x14ac:dyDescent="0.3">
      <c r="A16" t="s">
        <v>22</v>
      </c>
      <c r="B16">
        <v>64</v>
      </c>
      <c r="C16">
        <v>17</v>
      </c>
      <c r="D16">
        <v>1</v>
      </c>
      <c r="E16">
        <f t="shared" si="0"/>
        <v>2</v>
      </c>
      <c r="F16">
        <f t="shared" si="1"/>
        <v>2</v>
      </c>
      <c r="G16">
        <f t="shared" si="2"/>
        <v>1</v>
      </c>
      <c r="H16">
        <f t="shared" si="3"/>
        <v>5</v>
      </c>
      <c r="I16" t="str">
        <f t="shared" si="4"/>
        <v>High</v>
      </c>
      <c r="K16" s="3" t="s">
        <v>98</v>
      </c>
      <c r="M16" s="3" t="s">
        <v>101</v>
      </c>
    </row>
    <row r="17" spans="1:13" x14ac:dyDescent="0.3">
      <c r="A17" t="s">
        <v>23</v>
      </c>
      <c r="B17">
        <v>65</v>
      </c>
      <c r="C17">
        <v>24</v>
      </c>
      <c r="D17">
        <v>1</v>
      </c>
      <c r="E17">
        <f t="shared" si="0"/>
        <v>2</v>
      </c>
      <c r="F17">
        <f t="shared" si="1"/>
        <v>2</v>
      </c>
      <c r="G17">
        <f t="shared" si="2"/>
        <v>1</v>
      </c>
      <c r="H17">
        <f t="shared" si="3"/>
        <v>5</v>
      </c>
      <c r="I17" t="str">
        <f t="shared" si="4"/>
        <v>High</v>
      </c>
    </row>
    <row r="18" spans="1:13" x14ac:dyDescent="0.3">
      <c r="A18" t="s">
        <v>24</v>
      </c>
      <c r="B18">
        <v>51</v>
      </c>
      <c r="C18">
        <v>15</v>
      </c>
      <c r="D18">
        <v>2</v>
      </c>
      <c r="E18">
        <f t="shared" si="0"/>
        <v>1</v>
      </c>
      <c r="F18">
        <f t="shared" si="1"/>
        <v>1</v>
      </c>
      <c r="G18">
        <f t="shared" si="2"/>
        <v>1</v>
      </c>
      <c r="H18">
        <f t="shared" si="3"/>
        <v>3</v>
      </c>
      <c r="I18" t="str">
        <f t="shared" si="4"/>
        <v>Medium</v>
      </c>
      <c r="K18" s="5" t="s">
        <v>3</v>
      </c>
      <c r="M18" s="5" t="s">
        <v>105</v>
      </c>
    </row>
    <row r="19" spans="1:13" x14ac:dyDescent="0.3">
      <c r="A19" t="s">
        <v>25</v>
      </c>
      <c r="B19">
        <v>44</v>
      </c>
      <c r="C19">
        <v>2</v>
      </c>
      <c r="D19">
        <v>1</v>
      </c>
      <c r="E19">
        <f t="shared" si="0"/>
        <v>0</v>
      </c>
      <c r="F19">
        <f t="shared" si="1"/>
        <v>0</v>
      </c>
      <c r="G19">
        <f t="shared" si="2"/>
        <v>1</v>
      </c>
      <c r="H19">
        <f t="shared" si="3"/>
        <v>1</v>
      </c>
      <c r="I19" t="str">
        <f t="shared" si="4"/>
        <v>Low</v>
      </c>
      <c r="K19" s="3" t="s">
        <v>102</v>
      </c>
      <c r="M19" s="3" t="s">
        <v>106</v>
      </c>
    </row>
    <row r="20" spans="1:13" x14ac:dyDescent="0.3">
      <c r="A20" t="s">
        <v>26</v>
      </c>
      <c r="B20">
        <v>52</v>
      </c>
      <c r="C20">
        <v>15</v>
      </c>
      <c r="D20">
        <v>2</v>
      </c>
      <c r="E20">
        <f t="shared" si="0"/>
        <v>1</v>
      </c>
      <c r="F20">
        <f t="shared" si="1"/>
        <v>1</v>
      </c>
      <c r="G20">
        <f t="shared" si="2"/>
        <v>1</v>
      </c>
      <c r="H20">
        <f t="shared" si="3"/>
        <v>3</v>
      </c>
      <c r="I20" t="str">
        <f t="shared" si="4"/>
        <v>Medium</v>
      </c>
      <c r="K20" s="3" t="s">
        <v>103</v>
      </c>
      <c r="M20" s="3" t="s">
        <v>107</v>
      </c>
    </row>
    <row r="21" spans="1:13" x14ac:dyDescent="0.3">
      <c r="A21" t="s">
        <v>27</v>
      </c>
      <c r="B21">
        <v>42</v>
      </c>
      <c r="C21">
        <v>0</v>
      </c>
      <c r="D21">
        <v>1</v>
      </c>
      <c r="E21">
        <f t="shared" si="0"/>
        <v>0</v>
      </c>
      <c r="F21">
        <f t="shared" si="1"/>
        <v>0</v>
      </c>
      <c r="G21">
        <f t="shared" si="2"/>
        <v>1</v>
      </c>
      <c r="H21">
        <f t="shared" si="3"/>
        <v>1</v>
      </c>
      <c r="I21" t="str">
        <f t="shared" si="4"/>
        <v>Low</v>
      </c>
      <c r="K21" s="3" t="s">
        <v>104</v>
      </c>
      <c r="M21" s="3" t="s">
        <v>108</v>
      </c>
    </row>
    <row r="22" spans="1:13" x14ac:dyDescent="0.3">
      <c r="A22" t="s">
        <v>28</v>
      </c>
      <c r="B22">
        <v>54</v>
      </c>
      <c r="C22">
        <v>14</v>
      </c>
      <c r="D22">
        <v>1</v>
      </c>
      <c r="E22">
        <f t="shared" si="0"/>
        <v>1</v>
      </c>
      <c r="F22">
        <f t="shared" si="1"/>
        <v>1</v>
      </c>
      <c r="G22">
        <f t="shared" si="2"/>
        <v>1</v>
      </c>
      <c r="H22">
        <f t="shared" si="3"/>
        <v>3</v>
      </c>
      <c r="I22" t="str">
        <f t="shared" si="4"/>
        <v>Medium</v>
      </c>
    </row>
    <row r="23" spans="1:13" x14ac:dyDescent="0.3">
      <c r="A23" t="s">
        <v>29</v>
      </c>
      <c r="B23">
        <v>39</v>
      </c>
      <c r="C23">
        <v>0</v>
      </c>
      <c r="D23">
        <v>1</v>
      </c>
      <c r="E23">
        <f t="shared" si="0"/>
        <v>0</v>
      </c>
      <c r="F23">
        <f t="shared" si="1"/>
        <v>0</v>
      </c>
      <c r="G23">
        <f t="shared" si="2"/>
        <v>1</v>
      </c>
      <c r="H23">
        <f t="shared" si="3"/>
        <v>1</v>
      </c>
      <c r="I23" t="str">
        <f t="shared" si="4"/>
        <v>Low</v>
      </c>
    </row>
    <row r="24" spans="1:13" x14ac:dyDescent="0.3">
      <c r="A24" t="s">
        <v>30</v>
      </c>
      <c r="B24">
        <v>47</v>
      </c>
      <c r="C24">
        <v>11</v>
      </c>
      <c r="D24">
        <v>3</v>
      </c>
      <c r="E24">
        <f t="shared" si="0"/>
        <v>1</v>
      </c>
      <c r="F24">
        <f t="shared" si="1"/>
        <v>1</v>
      </c>
      <c r="G24">
        <f t="shared" si="2"/>
        <v>1</v>
      </c>
      <c r="H24">
        <f t="shared" si="3"/>
        <v>3</v>
      </c>
      <c r="I24" t="str">
        <f t="shared" si="4"/>
        <v>Medium</v>
      </c>
    </row>
    <row r="25" spans="1:13" x14ac:dyDescent="0.3">
      <c r="A25" t="s">
        <v>31</v>
      </c>
      <c r="B25">
        <v>53</v>
      </c>
      <c r="C25">
        <v>9</v>
      </c>
      <c r="D25">
        <v>3</v>
      </c>
      <c r="E25">
        <f t="shared" si="0"/>
        <v>1</v>
      </c>
      <c r="F25">
        <f t="shared" si="1"/>
        <v>1</v>
      </c>
      <c r="G25">
        <f t="shared" si="2"/>
        <v>1</v>
      </c>
      <c r="H25">
        <f t="shared" si="3"/>
        <v>3</v>
      </c>
      <c r="I25" t="str">
        <f t="shared" si="4"/>
        <v>Medium</v>
      </c>
    </row>
    <row r="26" spans="1:13" x14ac:dyDescent="0.3">
      <c r="A26" t="s">
        <v>32</v>
      </c>
      <c r="B26">
        <v>53</v>
      </c>
      <c r="C26">
        <v>14</v>
      </c>
      <c r="D26">
        <v>2</v>
      </c>
      <c r="E26">
        <f t="shared" si="0"/>
        <v>1</v>
      </c>
      <c r="F26">
        <f t="shared" si="1"/>
        <v>1</v>
      </c>
      <c r="G26">
        <f t="shared" si="2"/>
        <v>1</v>
      </c>
      <c r="H26">
        <f t="shared" si="3"/>
        <v>3</v>
      </c>
      <c r="I26" t="str">
        <f t="shared" si="4"/>
        <v>Medium</v>
      </c>
    </row>
    <row r="27" spans="1:13" x14ac:dyDescent="0.3">
      <c r="A27" t="s">
        <v>33</v>
      </c>
      <c r="B27">
        <v>49</v>
      </c>
      <c r="C27">
        <v>9</v>
      </c>
      <c r="D27">
        <v>3</v>
      </c>
      <c r="E27">
        <f t="shared" si="0"/>
        <v>1</v>
      </c>
      <c r="F27">
        <f t="shared" si="1"/>
        <v>1</v>
      </c>
      <c r="G27">
        <f t="shared" si="2"/>
        <v>1</v>
      </c>
      <c r="H27">
        <f t="shared" si="3"/>
        <v>3</v>
      </c>
      <c r="I27" t="str">
        <f t="shared" si="4"/>
        <v>Medium</v>
      </c>
    </row>
    <row r="28" spans="1:13" x14ac:dyDescent="0.3">
      <c r="A28" t="s">
        <v>34</v>
      </c>
      <c r="B28">
        <v>58</v>
      </c>
      <c r="C28">
        <v>20</v>
      </c>
      <c r="D28">
        <v>2</v>
      </c>
      <c r="E28">
        <f t="shared" si="0"/>
        <v>2</v>
      </c>
      <c r="F28">
        <f t="shared" si="1"/>
        <v>2</v>
      </c>
      <c r="G28">
        <f t="shared" si="2"/>
        <v>1</v>
      </c>
      <c r="H28">
        <f t="shared" si="3"/>
        <v>5</v>
      </c>
      <c r="I28" t="str">
        <f t="shared" si="4"/>
        <v>High</v>
      </c>
    </row>
    <row r="29" spans="1:13" x14ac:dyDescent="0.3">
      <c r="A29" t="s">
        <v>35</v>
      </c>
      <c r="B29">
        <v>51</v>
      </c>
      <c r="C29">
        <v>12</v>
      </c>
      <c r="D29">
        <v>2</v>
      </c>
      <c r="E29">
        <f t="shared" si="0"/>
        <v>1</v>
      </c>
      <c r="F29">
        <f t="shared" si="1"/>
        <v>1</v>
      </c>
      <c r="G29">
        <f t="shared" si="2"/>
        <v>1</v>
      </c>
      <c r="H29">
        <f t="shared" si="3"/>
        <v>3</v>
      </c>
      <c r="I29" t="str">
        <f t="shared" si="4"/>
        <v>Medium</v>
      </c>
    </row>
    <row r="30" spans="1:13" x14ac:dyDescent="0.3">
      <c r="A30" t="s">
        <v>36</v>
      </c>
      <c r="B30">
        <v>60</v>
      </c>
      <c r="C30">
        <v>25</v>
      </c>
      <c r="D30">
        <v>1</v>
      </c>
      <c r="E30">
        <f t="shared" si="0"/>
        <v>2</v>
      </c>
      <c r="F30">
        <f t="shared" si="1"/>
        <v>2</v>
      </c>
      <c r="G30">
        <f t="shared" si="2"/>
        <v>1</v>
      </c>
      <c r="H30">
        <f t="shared" si="3"/>
        <v>5</v>
      </c>
      <c r="I30" t="str">
        <f t="shared" si="4"/>
        <v>High</v>
      </c>
    </row>
    <row r="31" spans="1:13" x14ac:dyDescent="0.3">
      <c r="A31" t="s">
        <v>37</v>
      </c>
      <c r="B31">
        <v>42</v>
      </c>
      <c r="C31">
        <v>0</v>
      </c>
      <c r="D31">
        <v>0</v>
      </c>
      <c r="E31">
        <f t="shared" si="0"/>
        <v>0</v>
      </c>
      <c r="F31">
        <f t="shared" si="1"/>
        <v>0</v>
      </c>
      <c r="G31">
        <f t="shared" si="2"/>
        <v>0</v>
      </c>
      <c r="H31">
        <f t="shared" si="3"/>
        <v>0</v>
      </c>
      <c r="I31" t="str">
        <f t="shared" si="4"/>
        <v>Low</v>
      </c>
    </row>
    <row r="32" spans="1:13" x14ac:dyDescent="0.3">
      <c r="A32" t="s">
        <v>38</v>
      </c>
      <c r="B32">
        <v>54</v>
      </c>
      <c r="C32">
        <v>7</v>
      </c>
      <c r="D32">
        <v>3</v>
      </c>
      <c r="E32">
        <f t="shared" si="0"/>
        <v>1</v>
      </c>
      <c r="F32">
        <f t="shared" si="1"/>
        <v>1</v>
      </c>
      <c r="G32">
        <f t="shared" si="2"/>
        <v>1</v>
      </c>
      <c r="H32">
        <f t="shared" si="3"/>
        <v>3</v>
      </c>
      <c r="I32" t="str">
        <f t="shared" si="4"/>
        <v>Medium</v>
      </c>
    </row>
    <row r="33" spans="1:9" x14ac:dyDescent="0.3">
      <c r="A33" t="s">
        <v>39</v>
      </c>
      <c r="B33">
        <v>42</v>
      </c>
      <c r="C33">
        <v>0</v>
      </c>
      <c r="D33">
        <v>0</v>
      </c>
      <c r="E33">
        <f t="shared" si="0"/>
        <v>0</v>
      </c>
      <c r="F33">
        <f t="shared" si="1"/>
        <v>0</v>
      </c>
      <c r="G33">
        <f t="shared" si="2"/>
        <v>0</v>
      </c>
      <c r="H33">
        <f t="shared" si="3"/>
        <v>0</v>
      </c>
      <c r="I33" t="str">
        <f t="shared" si="4"/>
        <v>Low</v>
      </c>
    </row>
    <row r="34" spans="1:9" x14ac:dyDescent="0.3">
      <c r="A34" t="s">
        <v>40</v>
      </c>
      <c r="B34">
        <v>64</v>
      </c>
      <c r="C34">
        <v>20</v>
      </c>
      <c r="D34">
        <v>3</v>
      </c>
      <c r="E34">
        <f t="shared" si="0"/>
        <v>2</v>
      </c>
      <c r="F34">
        <f t="shared" si="1"/>
        <v>2</v>
      </c>
      <c r="G34">
        <f t="shared" si="2"/>
        <v>1</v>
      </c>
      <c r="H34">
        <f t="shared" si="3"/>
        <v>5</v>
      </c>
      <c r="I34" t="str">
        <f t="shared" si="4"/>
        <v>High</v>
      </c>
    </row>
    <row r="35" spans="1:9" x14ac:dyDescent="0.3">
      <c r="A35" t="s">
        <v>41</v>
      </c>
      <c r="B35">
        <v>44</v>
      </c>
      <c r="C35">
        <v>2</v>
      </c>
      <c r="D35">
        <v>0</v>
      </c>
      <c r="E35">
        <f t="shared" si="0"/>
        <v>0</v>
      </c>
      <c r="F35">
        <f t="shared" si="1"/>
        <v>0</v>
      </c>
      <c r="G35">
        <f t="shared" si="2"/>
        <v>0</v>
      </c>
      <c r="H35">
        <f t="shared" si="3"/>
        <v>0</v>
      </c>
      <c r="I35" t="str">
        <f t="shared" si="4"/>
        <v>Low</v>
      </c>
    </row>
    <row r="36" spans="1:9" x14ac:dyDescent="0.3">
      <c r="A36" t="s">
        <v>42</v>
      </c>
      <c r="B36">
        <v>59</v>
      </c>
      <c r="C36">
        <v>19</v>
      </c>
      <c r="D36">
        <v>1</v>
      </c>
      <c r="E36">
        <f t="shared" si="0"/>
        <v>2</v>
      </c>
      <c r="F36">
        <f t="shared" si="1"/>
        <v>2</v>
      </c>
      <c r="G36">
        <f t="shared" si="2"/>
        <v>1</v>
      </c>
      <c r="H36">
        <f t="shared" si="3"/>
        <v>5</v>
      </c>
      <c r="I36" t="str">
        <f t="shared" si="4"/>
        <v>High</v>
      </c>
    </row>
    <row r="37" spans="1:9" x14ac:dyDescent="0.3">
      <c r="A37" t="s">
        <v>43</v>
      </c>
      <c r="B37">
        <v>48</v>
      </c>
      <c r="C37">
        <v>9</v>
      </c>
      <c r="D37">
        <v>3</v>
      </c>
      <c r="E37">
        <f t="shared" si="0"/>
        <v>1</v>
      </c>
      <c r="F37">
        <f t="shared" si="1"/>
        <v>1</v>
      </c>
      <c r="G37">
        <f t="shared" si="2"/>
        <v>1</v>
      </c>
      <c r="H37">
        <f t="shared" si="3"/>
        <v>3</v>
      </c>
      <c r="I37" t="str">
        <f t="shared" si="4"/>
        <v>Medium</v>
      </c>
    </row>
    <row r="38" spans="1:9" x14ac:dyDescent="0.3">
      <c r="A38" t="s">
        <v>44</v>
      </c>
      <c r="B38">
        <v>42</v>
      </c>
      <c r="C38">
        <v>0</v>
      </c>
      <c r="D38">
        <v>0</v>
      </c>
      <c r="E38">
        <f t="shared" si="0"/>
        <v>0</v>
      </c>
      <c r="F38">
        <f t="shared" si="1"/>
        <v>0</v>
      </c>
      <c r="G38">
        <f t="shared" si="2"/>
        <v>0</v>
      </c>
      <c r="H38">
        <f t="shared" si="3"/>
        <v>0</v>
      </c>
      <c r="I38" t="str">
        <f t="shared" si="4"/>
        <v>Low</v>
      </c>
    </row>
    <row r="39" spans="1:9" x14ac:dyDescent="0.3">
      <c r="A39" t="s">
        <v>45</v>
      </c>
      <c r="B39">
        <v>48</v>
      </c>
      <c r="C39">
        <v>7</v>
      </c>
      <c r="D39">
        <v>3</v>
      </c>
      <c r="E39">
        <f t="shared" si="0"/>
        <v>1</v>
      </c>
      <c r="F39">
        <f t="shared" si="1"/>
        <v>1</v>
      </c>
      <c r="G39">
        <f t="shared" si="2"/>
        <v>1</v>
      </c>
      <c r="H39">
        <f t="shared" si="3"/>
        <v>3</v>
      </c>
      <c r="I39" t="str">
        <f t="shared" si="4"/>
        <v>Medium</v>
      </c>
    </row>
    <row r="40" spans="1:9" x14ac:dyDescent="0.3">
      <c r="A40" t="s">
        <v>46</v>
      </c>
      <c r="B40">
        <v>53</v>
      </c>
      <c r="C40">
        <v>15</v>
      </c>
      <c r="D40">
        <v>2</v>
      </c>
      <c r="E40">
        <f t="shared" si="0"/>
        <v>1</v>
      </c>
      <c r="F40">
        <f t="shared" si="1"/>
        <v>1</v>
      </c>
      <c r="G40">
        <f t="shared" si="2"/>
        <v>1</v>
      </c>
      <c r="H40">
        <f t="shared" si="3"/>
        <v>3</v>
      </c>
      <c r="I40" t="str">
        <f t="shared" si="4"/>
        <v>Medium</v>
      </c>
    </row>
    <row r="41" spans="1:9" x14ac:dyDescent="0.3">
      <c r="A41" t="s">
        <v>47</v>
      </c>
      <c r="B41">
        <v>41</v>
      </c>
      <c r="C41">
        <v>5</v>
      </c>
      <c r="D41">
        <v>1</v>
      </c>
      <c r="E41">
        <f t="shared" si="0"/>
        <v>0</v>
      </c>
      <c r="F41">
        <f t="shared" si="1"/>
        <v>0</v>
      </c>
      <c r="G41">
        <f t="shared" si="2"/>
        <v>1</v>
      </c>
      <c r="H41">
        <f t="shared" si="3"/>
        <v>1</v>
      </c>
      <c r="I41" t="str">
        <f t="shared" si="4"/>
        <v>Low</v>
      </c>
    </row>
    <row r="42" spans="1:9" x14ac:dyDescent="0.3">
      <c r="A42" t="s">
        <v>48</v>
      </c>
      <c r="B42">
        <v>46</v>
      </c>
      <c r="C42">
        <v>9</v>
      </c>
      <c r="D42">
        <v>1</v>
      </c>
      <c r="E42">
        <f t="shared" si="0"/>
        <v>1</v>
      </c>
      <c r="F42">
        <f t="shared" si="1"/>
        <v>1</v>
      </c>
      <c r="G42">
        <f t="shared" si="2"/>
        <v>1</v>
      </c>
      <c r="H42">
        <f t="shared" si="3"/>
        <v>3</v>
      </c>
      <c r="I42" t="str">
        <f t="shared" si="4"/>
        <v>Medium</v>
      </c>
    </row>
    <row r="43" spans="1:9" x14ac:dyDescent="0.3">
      <c r="A43" t="s">
        <v>49</v>
      </c>
      <c r="B43">
        <v>56</v>
      </c>
      <c r="C43">
        <v>23</v>
      </c>
      <c r="D43">
        <v>3</v>
      </c>
      <c r="E43">
        <f t="shared" si="0"/>
        <v>2</v>
      </c>
      <c r="F43">
        <f t="shared" si="1"/>
        <v>2</v>
      </c>
      <c r="G43">
        <f t="shared" si="2"/>
        <v>1</v>
      </c>
      <c r="H43">
        <f t="shared" si="3"/>
        <v>5</v>
      </c>
      <c r="I43" t="str">
        <f t="shared" si="4"/>
        <v>High</v>
      </c>
    </row>
    <row r="44" spans="1:9" x14ac:dyDescent="0.3">
      <c r="A44" t="s">
        <v>50</v>
      </c>
      <c r="B44">
        <v>56</v>
      </c>
      <c r="C44">
        <v>25</v>
      </c>
      <c r="D44">
        <v>2</v>
      </c>
      <c r="E44">
        <f t="shared" si="0"/>
        <v>2</v>
      </c>
      <c r="F44">
        <f t="shared" si="1"/>
        <v>2</v>
      </c>
      <c r="G44">
        <f t="shared" si="2"/>
        <v>1</v>
      </c>
      <c r="H44">
        <f t="shared" si="3"/>
        <v>5</v>
      </c>
      <c r="I44" t="str">
        <f t="shared" si="4"/>
        <v>High</v>
      </c>
    </row>
    <row r="45" spans="1:9" x14ac:dyDescent="0.3">
      <c r="A45" t="s">
        <v>51</v>
      </c>
      <c r="B45">
        <v>39</v>
      </c>
      <c r="C45">
        <v>2</v>
      </c>
      <c r="D45">
        <v>1</v>
      </c>
      <c r="E45">
        <f t="shared" si="0"/>
        <v>0</v>
      </c>
      <c r="F45">
        <f t="shared" si="1"/>
        <v>0</v>
      </c>
      <c r="G45">
        <f t="shared" si="2"/>
        <v>1</v>
      </c>
      <c r="H45">
        <f t="shared" si="3"/>
        <v>1</v>
      </c>
      <c r="I45" t="str">
        <f t="shared" si="4"/>
        <v>Low</v>
      </c>
    </row>
    <row r="46" spans="1:9" x14ac:dyDescent="0.3">
      <c r="A46" t="s">
        <v>52</v>
      </c>
      <c r="B46">
        <v>39</v>
      </c>
      <c r="C46">
        <v>0</v>
      </c>
      <c r="D46">
        <v>1</v>
      </c>
      <c r="E46">
        <f t="shared" si="0"/>
        <v>0</v>
      </c>
      <c r="F46">
        <f t="shared" si="1"/>
        <v>0</v>
      </c>
      <c r="G46">
        <f t="shared" si="2"/>
        <v>1</v>
      </c>
      <c r="H46">
        <f t="shared" si="3"/>
        <v>1</v>
      </c>
      <c r="I46" t="str">
        <f t="shared" si="4"/>
        <v>Low</v>
      </c>
    </row>
    <row r="47" spans="1:9" x14ac:dyDescent="0.3">
      <c r="A47" t="s">
        <v>53</v>
      </c>
      <c r="B47">
        <v>47</v>
      </c>
      <c r="C47">
        <v>10</v>
      </c>
      <c r="D47">
        <v>1</v>
      </c>
      <c r="E47">
        <f t="shared" si="0"/>
        <v>1</v>
      </c>
      <c r="F47">
        <f t="shared" si="1"/>
        <v>1</v>
      </c>
      <c r="G47">
        <f t="shared" si="2"/>
        <v>1</v>
      </c>
      <c r="H47">
        <f t="shared" si="3"/>
        <v>3</v>
      </c>
      <c r="I47" t="str">
        <f t="shared" si="4"/>
        <v>Medium</v>
      </c>
    </row>
    <row r="48" spans="1:9" x14ac:dyDescent="0.3">
      <c r="A48" t="s">
        <v>54</v>
      </c>
      <c r="B48">
        <v>64</v>
      </c>
      <c r="C48">
        <v>19</v>
      </c>
      <c r="D48">
        <v>3</v>
      </c>
      <c r="E48">
        <f t="shared" si="0"/>
        <v>2</v>
      </c>
      <c r="F48">
        <f t="shared" si="1"/>
        <v>2</v>
      </c>
      <c r="G48">
        <f t="shared" si="2"/>
        <v>1</v>
      </c>
      <c r="H48">
        <f t="shared" si="3"/>
        <v>5</v>
      </c>
      <c r="I48" t="str">
        <f t="shared" si="4"/>
        <v>High</v>
      </c>
    </row>
    <row r="49" spans="1:9" x14ac:dyDescent="0.3">
      <c r="A49" t="s">
        <v>55</v>
      </c>
      <c r="B49">
        <v>50</v>
      </c>
      <c r="C49">
        <v>14</v>
      </c>
      <c r="D49">
        <v>1</v>
      </c>
      <c r="E49">
        <f t="shared" si="0"/>
        <v>1</v>
      </c>
      <c r="F49">
        <f t="shared" si="1"/>
        <v>1</v>
      </c>
      <c r="G49">
        <f t="shared" si="2"/>
        <v>1</v>
      </c>
      <c r="H49">
        <f t="shared" si="3"/>
        <v>3</v>
      </c>
      <c r="I49" t="str">
        <f t="shared" si="4"/>
        <v>Medium</v>
      </c>
    </row>
    <row r="50" spans="1:9" x14ac:dyDescent="0.3">
      <c r="A50" t="s">
        <v>56</v>
      </c>
      <c r="B50">
        <v>38</v>
      </c>
      <c r="C50">
        <v>2</v>
      </c>
      <c r="D50">
        <v>1</v>
      </c>
      <c r="E50">
        <f t="shared" si="0"/>
        <v>0</v>
      </c>
      <c r="F50">
        <f t="shared" si="1"/>
        <v>0</v>
      </c>
      <c r="G50">
        <f t="shared" si="2"/>
        <v>1</v>
      </c>
      <c r="H50">
        <f t="shared" si="3"/>
        <v>1</v>
      </c>
      <c r="I50" t="str">
        <f t="shared" si="4"/>
        <v>Low</v>
      </c>
    </row>
    <row r="51" spans="1:9" x14ac:dyDescent="0.3">
      <c r="A51" t="s">
        <v>57</v>
      </c>
      <c r="B51">
        <v>55</v>
      </c>
      <c r="C51">
        <v>10</v>
      </c>
      <c r="D51">
        <v>3</v>
      </c>
      <c r="E51">
        <f t="shared" si="0"/>
        <v>1</v>
      </c>
      <c r="F51">
        <f t="shared" si="1"/>
        <v>1</v>
      </c>
      <c r="G51">
        <f t="shared" si="2"/>
        <v>1</v>
      </c>
      <c r="H51">
        <f t="shared" si="3"/>
        <v>3</v>
      </c>
      <c r="I51" t="str">
        <f t="shared" si="4"/>
        <v>Medium</v>
      </c>
    </row>
    <row r="52" spans="1:9" x14ac:dyDescent="0.3">
      <c r="A52" t="s">
        <v>58</v>
      </c>
      <c r="B52">
        <v>57</v>
      </c>
      <c r="C52">
        <v>23</v>
      </c>
      <c r="D52">
        <v>3</v>
      </c>
      <c r="E52">
        <f t="shared" si="0"/>
        <v>2</v>
      </c>
      <c r="F52">
        <f t="shared" si="1"/>
        <v>2</v>
      </c>
      <c r="G52">
        <f t="shared" si="2"/>
        <v>1</v>
      </c>
      <c r="H52">
        <f t="shared" si="3"/>
        <v>5</v>
      </c>
      <c r="I52" t="str">
        <f t="shared" si="4"/>
        <v>High</v>
      </c>
    </row>
    <row r="53" spans="1:9" x14ac:dyDescent="0.3">
      <c r="A53" t="s">
        <v>59</v>
      </c>
      <c r="B53">
        <v>44</v>
      </c>
      <c r="C53">
        <v>1</v>
      </c>
      <c r="D53">
        <v>1</v>
      </c>
      <c r="E53">
        <f t="shared" si="0"/>
        <v>0</v>
      </c>
      <c r="F53">
        <f t="shared" si="1"/>
        <v>0</v>
      </c>
      <c r="G53">
        <f t="shared" si="2"/>
        <v>1</v>
      </c>
      <c r="H53">
        <f t="shared" si="3"/>
        <v>1</v>
      </c>
      <c r="I53" t="str">
        <f t="shared" si="4"/>
        <v>Low</v>
      </c>
    </row>
    <row r="54" spans="1:9" x14ac:dyDescent="0.3">
      <c r="A54" t="s">
        <v>60</v>
      </c>
      <c r="B54">
        <v>57</v>
      </c>
      <c r="C54">
        <v>22</v>
      </c>
      <c r="D54">
        <v>2</v>
      </c>
      <c r="E54">
        <f t="shared" si="0"/>
        <v>2</v>
      </c>
      <c r="F54">
        <f t="shared" si="1"/>
        <v>2</v>
      </c>
      <c r="G54">
        <f t="shared" si="2"/>
        <v>1</v>
      </c>
      <c r="H54">
        <f t="shared" si="3"/>
        <v>5</v>
      </c>
      <c r="I54" t="str">
        <f t="shared" si="4"/>
        <v>High</v>
      </c>
    </row>
    <row r="55" spans="1:9" x14ac:dyDescent="0.3">
      <c r="A55" t="s">
        <v>61</v>
      </c>
      <c r="B55">
        <v>41</v>
      </c>
      <c r="C55">
        <v>5</v>
      </c>
      <c r="D55">
        <v>0</v>
      </c>
      <c r="E55">
        <f t="shared" si="0"/>
        <v>0</v>
      </c>
      <c r="F55">
        <f t="shared" si="1"/>
        <v>0</v>
      </c>
      <c r="G55">
        <f t="shared" si="2"/>
        <v>0</v>
      </c>
      <c r="H55">
        <f t="shared" si="3"/>
        <v>0</v>
      </c>
      <c r="I55" t="str">
        <f t="shared" si="4"/>
        <v>Low</v>
      </c>
    </row>
    <row r="56" spans="1:9" x14ac:dyDescent="0.3">
      <c r="A56" t="s">
        <v>62</v>
      </c>
      <c r="B56">
        <v>46</v>
      </c>
      <c r="C56">
        <v>9</v>
      </c>
      <c r="D56">
        <v>1</v>
      </c>
      <c r="E56">
        <f t="shared" si="0"/>
        <v>1</v>
      </c>
      <c r="F56">
        <f t="shared" si="1"/>
        <v>1</v>
      </c>
      <c r="G56">
        <f t="shared" si="2"/>
        <v>1</v>
      </c>
      <c r="H56">
        <f t="shared" si="3"/>
        <v>3</v>
      </c>
      <c r="I56" t="str">
        <f t="shared" si="4"/>
        <v>Medium</v>
      </c>
    </row>
    <row r="57" spans="1:9" x14ac:dyDescent="0.3">
      <c r="A57" t="s">
        <v>63</v>
      </c>
      <c r="B57">
        <v>39</v>
      </c>
      <c r="C57">
        <v>3</v>
      </c>
      <c r="D57">
        <v>0</v>
      </c>
      <c r="E57">
        <f t="shared" si="0"/>
        <v>0</v>
      </c>
      <c r="F57">
        <f t="shared" si="1"/>
        <v>0</v>
      </c>
      <c r="G57">
        <f t="shared" si="2"/>
        <v>0</v>
      </c>
      <c r="H57">
        <f t="shared" si="3"/>
        <v>0</v>
      </c>
      <c r="I57" t="str">
        <f t="shared" si="4"/>
        <v>Low</v>
      </c>
    </row>
    <row r="58" spans="1:9" x14ac:dyDescent="0.3">
      <c r="A58" t="s">
        <v>64</v>
      </c>
      <c r="B58">
        <v>39</v>
      </c>
      <c r="C58">
        <v>4</v>
      </c>
      <c r="D58">
        <v>0</v>
      </c>
      <c r="E58">
        <f t="shared" si="0"/>
        <v>0</v>
      </c>
      <c r="F58">
        <f t="shared" si="1"/>
        <v>0</v>
      </c>
      <c r="G58">
        <f t="shared" si="2"/>
        <v>0</v>
      </c>
      <c r="H58">
        <f t="shared" si="3"/>
        <v>0</v>
      </c>
      <c r="I58" t="str">
        <f t="shared" si="4"/>
        <v>Low</v>
      </c>
    </row>
    <row r="59" spans="1:9" x14ac:dyDescent="0.3">
      <c r="A59" t="s">
        <v>65</v>
      </c>
      <c r="B59">
        <v>39</v>
      </c>
      <c r="C59">
        <v>5</v>
      </c>
      <c r="D59">
        <v>0</v>
      </c>
      <c r="E59">
        <f t="shared" si="0"/>
        <v>0</v>
      </c>
      <c r="F59">
        <f t="shared" si="1"/>
        <v>0</v>
      </c>
      <c r="G59">
        <f t="shared" si="2"/>
        <v>0</v>
      </c>
      <c r="H59">
        <f t="shared" si="3"/>
        <v>0</v>
      </c>
      <c r="I59" t="str">
        <f t="shared" si="4"/>
        <v>Low</v>
      </c>
    </row>
    <row r="60" spans="1:9" x14ac:dyDescent="0.3">
      <c r="A60" t="s">
        <v>66</v>
      </c>
      <c r="B60">
        <v>58</v>
      </c>
      <c r="C60">
        <v>19</v>
      </c>
      <c r="D60">
        <v>2</v>
      </c>
      <c r="E60">
        <f t="shared" si="0"/>
        <v>2</v>
      </c>
      <c r="F60">
        <f t="shared" si="1"/>
        <v>2</v>
      </c>
      <c r="G60">
        <f t="shared" si="2"/>
        <v>1</v>
      </c>
      <c r="H60">
        <f t="shared" si="3"/>
        <v>5</v>
      </c>
      <c r="I60" t="str">
        <f t="shared" si="4"/>
        <v>High</v>
      </c>
    </row>
    <row r="61" spans="1:9" x14ac:dyDescent="0.3">
      <c r="A61" t="s">
        <v>67</v>
      </c>
      <c r="B61">
        <v>46</v>
      </c>
      <c r="C61">
        <v>15</v>
      </c>
      <c r="D61">
        <v>1</v>
      </c>
      <c r="E61">
        <f t="shared" si="0"/>
        <v>1</v>
      </c>
      <c r="F61">
        <f t="shared" si="1"/>
        <v>1</v>
      </c>
      <c r="G61">
        <f t="shared" si="2"/>
        <v>1</v>
      </c>
      <c r="H61">
        <f t="shared" si="3"/>
        <v>3</v>
      </c>
      <c r="I61" t="str">
        <f t="shared" si="4"/>
        <v>Medium</v>
      </c>
    </row>
    <row r="62" spans="1:9" x14ac:dyDescent="0.3">
      <c r="A62" t="s">
        <v>68</v>
      </c>
      <c r="B62">
        <v>62</v>
      </c>
      <c r="C62">
        <v>18</v>
      </c>
      <c r="D62">
        <v>2</v>
      </c>
      <c r="E62">
        <f t="shared" si="0"/>
        <v>2</v>
      </c>
      <c r="F62">
        <f t="shared" si="1"/>
        <v>2</v>
      </c>
      <c r="G62">
        <f t="shared" si="2"/>
        <v>1</v>
      </c>
      <c r="H62">
        <f t="shared" si="3"/>
        <v>5</v>
      </c>
      <c r="I62" t="str">
        <f t="shared" si="4"/>
        <v>High</v>
      </c>
    </row>
    <row r="63" spans="1:9" x14ac:dyDescent="0.3">
      <c r="A63" t="s">
        <v>69</v>
      </c>
      <c r="B63">
        <v>57</v>
      </c>
      <c r="C63">
        <v>16</v>
      </c>
      <c r="D63">
        <v>2</v>
      </c>
      <c r="E63">
        <f t="shared" si="0"/>
        <v>2</v>
      </c>
      <c r="F63">
        <f t="shared" si="1"/>
        <v>2</v>
      </c>
      <c r="G63">
        <f t="shared" si="2"/>
        <v>1</v>
      </c>
      <c r="H63">
        <f t="shared" si="3"/>
        <v>5</v>
      </c>
      <c r="I63" t="str">
        <f t="shared" si="4"/>
        <v>High</v>
      </c>
    </row>
    <row r="64" spans="1:9" x14ac:dyDescent="0.3">
      <c r="A64" t="s">
        <v>70</v>
      </c>
      <c r="B64">
        <v>41</v>
      </c>
      <c r="C64">
        <v>1</v>
      </c>
      <c r="D64">
        <v>1</v>
      </c>
      <c r="E64">
        <f t="shared" si="0"/>
        <v>0</v>
      </c>
      <c r="F64">
        <f t="shared" si="1"/>
        <v>0</v>
      </c>
      <c r="G64">
        <f t="shared" si="2"/>
        <v>1</v>
      </c>
      <c r="H64">
        <f t="shared" si="3"/>
        <v>1</v>
      </c>
      <c r="I64" t="str">
        <f t="shared" si="4"/>
        <v>Low</v>
      </c>
    </row>
    <row r="65" spans="1:9" x14ac:dyDescent="0.3">
      <c r="A65" t="s">
        <v>71</v>
      </c>
      <c r="B65">
        <v>58</v>
      </c>
      <c r="C65">
        <v>23</v>
      </c>
      <c r="D65">
        <v>3</v>
      </c>
      <c r="E65">
        <f t="shared" si="0"/>
        <v>2</v>
      </c>
      <c r="F65">
        <f t="shared" si="1"/>
        <v>2</v>
      </c>
      <c r="G65">
        <f t="shared" si="2"/>
        <v>1</v>
      </c>
      <c r="H65">
        <f t="shared" si="3"/>
        <v>5</v>
      </c>
      <c r="I65" t="str">
        <f t="shared" si="4"/>
        <v>High</v>
      </c>
    </row>
    <row r="66" spans="1:9" x14ac:dyDescent="0.3">
      <c r="A66" t="s">
        <v>72</v>
      </c>
      <c r="B66">
        <v>38</v>
      </c>
      <c r="C66">
        <v>4</v>
      </c>
      <c r="D66">
        <v>0</v>
      </c>
      <c r="E66">
        <f t="shared" si="0"/>
        <v>0</v>
      </c>
      <c r="F66">
        <f t="shared" si="1"/>
        <v>0</v>
      </c>
      <c r="G66">
        <f t="shared" si="2"/>
        <v>0</v>
      </c>
      <c r="H66">
        <f t="shared" si="3"/>
        <v>0</v>
      </c>
      <c r="I66" t="str">
        <f t="shared" si="4"/>
        <v>Low</v>
      </c>
    </row>
    <row r="67" spans="1:9" x14ac:dyDescent="0.3">
      <c r="A67" t="s">
        <v>73</v>
      </c>
      <c r="B67">
        <v>60</v>
      </c>
      <c r="C67">
        <v>24</v>
      </c>
      <c r="D67">
        <v>2</v>
      </c>
      <c r="E67">
        <f t="shared" si="0"/>
        <v>2</v>
      </c>
      <c r="F67">
        <f t="shared" si="1"/>
        <v>2</v>
      </c>
      <c r="G67">
        <f t="shared" si="2"/>
        <v>1</v>
      </c>
      <c r="H67">
        <f t="shared" si="3"/>
        <v>5</v>
      </c>
      <c r="I67" t="str">
        <f t="shared" si="4"/>
        <v>High</v>
      </c>
    </row>
    <row r="68" spans="1:9" x14ac:dyDescent="0.3">
      <c r="A68" t="s">
        <v>74</v>
      </c>
      <c r="B68">
        <v>47</v>
      </c>
      <c r="C68">
        <v>7</v>
      </c>
      <c r="D68">
        <v>1</v>
      </c>
      <c r="E68">
        <f t="shared" ref="E68:E84" si="5">IF(B68&lt;=45,0,IF(B68&lt;=55,1,2))</f>
        <v>1</v>
      </c>
      <c r="F68">
        <f t="shared" ref="F68:F84" si="6">IF(C68&lt;=5,0,IF(C68&lt;=15,1,2))</f>
        <v>1</v>
      </c>
      <c r="G68">
        <f t="shared" ref="G68:G84" si="7">IF(D68&gt;3,2,IF(D68&gt;=1,1,0))</f>
        <v>1</v>
      </c>
      <c r="H68">
        <f t="shared" ref="H68:H84" si="8">SUM(E68:G68)</f>
        <v>3</v>
      </c>
      <c r="I68" t="str">
        <f t="shared" ref="I68:I84" si="9">IF(H68&lt;=2,"Low",IF(H68&lt;=4,"Medium","High"))</f>
        <v>Medium</v>
      </c>
    </row>
    <row r="69" spans="1:9" x14ac:dyDescent="0.3">
      <c r="A69" t="s">
        <v>75</v>
      </c>
      <c r="B69">
        <v>39</v>
      </c>
      <c r="C69">
        <v>3</v>
      </c>
      <c r="D69">
        <v>1</v>
      </c>
      <c r="E69">
        <f t="shared" si="5"/>
        <v>0</v>
      </c>
      <c r="F69">
        <f t="shared" si="6"/>
        <v>0</v>
      </c>
      <c r="G69">
        <f t="shared" si="7"/>
        <v>1</v>
      </c>
      <c r="H69">
        <f t="shared" si="8"/>
        <v>1</v>
      </c>
      <c r="I69" t="str">
        <f t="shared" si="9"/>
        <v>Low</v>
      </c>
    </row>
    <row r="70" spans="1:9" x14ac:dyDescent="0.3">
      <c r="A70" t="s">
        <v>76</v>
      </c>
      <c r="B70">
        <v>51</v>
      </c>
      <c r="C70">
        <v>12</v>
      </c>
      <c r="D70">
        <v>3</v>
      </c>
      <c r="E70">
        <f t="shared" si="5"/>
        <v>1</v>
      </c>
      <c r="F70">
        <f t="shared" si="6"/>
        <v>1</v>
      </c>
      <c r="G70">
        <f t="shared" si="7"/>
        <v>1</v>
      </c>
      <c r="H70">
        <f t="shared" si="8"/>
        <v>3</v>
      </c>
      <c r="I70" t="str">
        <f t="shared" si="9"/>
        <v>Medium</v>
      </c>
    </row>
    <row r="71" spans="1:9" x14ac:dyDescent="0.3">
      <c r="A71" t="s">
        <v>77</v>
      </c>
      <c r="B71">
        <v>39</v>
      </c>
      <c r="C71">
        <v>1</v>
      </c>
      <c r="D71">
        <v>0</v>
      </c>
      <c r="E71">
        <f t="shared" si="5"/>
        <v>0</v>
      </c>
      <c r="F71">
        <f t="shared" si="6"/>
        <v>0</v>
      </c>
      <c r="G71">
        <f t="shared" si="7"/>
        <v>0</v>
      </c>
      <c r="H71">
        <f t="shared" si="8"/>
        <v>0</v>
      </c>
      <c r="I71" t="str">
        <f t="shared" si="9"/>
        <v>Low</v>
      </c>
    </row>
    <row r="72" spans="1:9" x14ac:dyDescent="0.3">
      <c r="A72" t="s">
        <v>78</v>
      </c>
      <c r="B72">
        <v>59</v>
      </c>
      <c r="C72">
        <v>22</v>
      </c>
      <c r="D72">
        <v>1</v>
      </c>
      <c r="E72">
        <f t="shared" si="5"/>
        <v>2</v>
      </c>
      <c r="F72">
        <f t="shared" si="6"/>
        <v>2</v>
      </c>
      <c r="G72">
        <f t="shared" si="7"/>
        <v>1</v>
      </c>
      <c r="H72">
        <f t="shared" si="8"/>
        <v>5</v>
      </c>
      <c r="I72" t="str">
        <f t="shared" si="9"/>
        <v>High</v>
      </c>
    </row>
    <row r="73" spans="1:9" x14ac:dyDescent="0.3">
      <c r="A73" t="s">
        <v>79</v>
      </c>
      <c r="B73">
        <v>45</v>
      </c>
      <c r="C73">
        <v>5</v>
      </c>
      <c r="D73">
        <v>1</v>
      </c>
      <c r="E73">
        <f t="shared" si="5"/>
        <v>0</v>
      </c>
      <c r="F73">
        <f t="shared" si="6"/>
        <v>0</v>
      </c>
      <c r="G73">
        <f t="shared" si="7"/>
        <v>1</v>
      </c>
      <c r="H73">
        <f t="shared" si="8"/>
        <v>1</v>
      </c>
      <c r="I73" t="str">
        <f t="shared" si="9"/>
        <v>Low</v>
      </c>
    </row>
    <row r="74" spans="1:9" x14ac:dyDescent="0.3">
      <c r="A74" t="s">
        <v>80</v>
      </c>
      <c r="B74">
        <v>40</v>
      </c>
      <c r="C74">
        <v>1</v>
      </c>
      <c r="D74">
        <v>1</v>
      </c>
      <c r="E74">
        <f t="shared" si="5"/>
        <v>0</v>
      </c>
      <c r="F74">
        <f t="shared" si="6"/>
        <v>0</v>
      </c>
      <c r="G74">
        <f t="shared" si="7"/>
        <v>1</v>
      </c>
      <c r="H74">
        <f t="shared" si="8"/>
        <v>1</v>
      </c>
      <c r="I74" t="str">
        <f t="shared" si="9"/>
        <v>Low</v>
      </c>
    </row>
    <row r="75" spans="1:9" x14ac:dyDescent="0.3">
      <c r="A75" t="s">
        <v>81</v>
      </c>
      <c r="B75">
        <v>42</v>
      </c>
      <c r="C75">
        <v>5</v>
      </c>
      <c r="D75">
        <v>1</v>
      </c>
      <c r="E75">
        <f t="shared" si="5"/>
        <v>0</v>
      </c>
      <c r="F75">
        <f t="shared" si="6"/>
        <v>0</v>
      </c>
      <c r="G75">
        <f t="shared" si="7"/>
        <v>1</v>
      </c>
      <c r="H75">
        <f t="shared" si="8"/>
        <v>1</v>
      </c>
      <c r="I75" t="str">
        <f t="shared" si="9"/>
        <v>Low</v>
      </c>
    </row>
    <row r="76" spans="1:9" x14ac:dyDescent="0.3">
      <c r="A76" t="s">
        <v>82</v>
      </c>
      <c r="B76">
        <v>41</v>
      </c>
      <c r="C76">
        <v>1</v>
      </c>
      <c r="D76">
        <v>0</v>
      </c>
      <c r="E76">
        <f t="shared" si="5"/>
        <v>0</v>
      </c>
      <c r="F76">
        <f t="shared" si="6"/>
        <v>0</v>
      </c>
      <c r="G76">
        <f t="shared" si="7"/>
        <v>0</v>
      </c>
      <c r="H76">
        <f t="shared" si="8"/>
        <v>0</v>
      </c>
      <c r="I76" t="str">
        <f t="shared" si="9"/>
        <v>Low</v>
      </c>
    </row>
    <row r="77" spans="1:9" x14ac:dyDescent="0.3">
      <c r="A77" t="s">
        <v>83</v>
      </c>
      <c r="B77">
        <v>59</v>
      </c>
      <c r="C77">
        <v>21</v>
      </c>
      <c r="D77">
        <v>6</v>
      </c>
      <c r="E77">
        <f t="shared" si="5"/>
        <v>2</v>
      </c>
      <c r="F77">
        <f t="shared" si="6"/>
        <v>2</v>
      </c>
      <c r="G77">
        <f t="shared" si="7"/>
        <v>2</v>
      </c>
      <c r="H77">
        <f t="shared" si="8"/>
        <v>6</v>
      </c>
      <c r="I77" t="str">
        <f t="shared" si="9"/>
        <v>High</v>
      </c>
    </row>
    <row r="78" spans="1:9" x14ac:dyDescent="0.3">
      <c r="A78" t="s">
        <v>84</v>
      </c>
      <c r="B78">
        <v>52</v>
      </c>
      <c r="C78">
        <v>9</v>
      </c>
      <c r="D78">
        <v>2</v>
      </c>
      <c r="E78">
        <f t="shared" si="5"/>
        <v>1</v>
      </c>
      <c r="F78">
        <f t="shared" si="6"/>
        <v>1</v>
      </c>
      <c r="G78">
        <f t="shared" si="7"/>
        <v>1</v>
      </c>
      <c r="H78">
        <f t="shared" si="8"/>
        <v>3</v>
      </c>
      <c r="I78" t="str">
        <f t="shared" si="9"/>
        <v>Medium</v>
      </c>
    </row>
    <row r="79" spans="1:9" x14ac:dyDescent="0.3">
      <c r="A79" t="s">
        <v>85</v>
      </c>
      <c r="B79">
        <v>65</v>
      </c>
      <c r="C79">
        <v>17</v>
      </c>
      <c r="D79">
        <v>6</v>
      </c>
      <c r="E79">
        <f t="shared" si="5"/>
        <v>2</v>
      </c>
      <c r="F79">
        <f t="shared" si="6"/>
        <v>2</v>
      </c>
      <c r="G79">
        <f t="shared" si="7"/>
        <v>2</v>
      </c>
      <c r="H79">
        <f t="shared" si="8"/>
        <v>6</v>
      </c>
      <c r="I79" t="str">
        <f t="shared" si="9"/>
        <v>High</v>
      </c>
    </row>
    <row r="80" spans="1:9" x14ac:dyDescent="0.3">
      <c r="A80" t="s">
        <v>86</v>
      </c>
      <c r="B80">
        <v>61</v>
      </c>
      <c r="C80">
        <v>22</v>
      </c>
      <c r="D80">
        <v>2</v>
      </c>
      <c r="E80">
        <f t="shared" si="5"/>
        <v>2</v>
      </c>
      <c r="F80">
        <f t="shared" si="6"/>
        <v>2</v>
      </c>
      <c r="G80">
        <f t="shared" si="7"/>
        <v>1</v>
      </c>
      <c r="H80">
        <f t="shared" si="8"/>
        <v>5</v>
      </c>
      <c r="I80" t="str">
        <f t="shared" si="9"/>
        <v>High</v>
      </c>
    </row>
    <row r="81" spans="1:9" x14ac:dyDescent="0.3">
      <c r="A81" t="s">
        <v>87</v>
      </c>
      <c r="B81">
        <v>40</v>
      </c>
      <c r="C81">
        <v>2</v>
      </c>
      <c r="D81">
        <v>1</v>
      </c>
      <c r="E81">
        <f t="shared" si="5"/>
        <v>0</v>
      </c>
      <c r="F81">
        <f t="shared" si="6"/>
        <v>0</v>
      </c>
      <c r="G81">
        <f t="shared" si="7"/>
        <v>1</v>
      </c>
      <c r="H81">
        <f t="shared" si="8"/>
        <v>1</v>
      </c>
      <c r="I81" t="str">
        <f t="shared" si="9"/>
        <v>Low</v>
      </c>
    </row>
    <row r="82" spans="1:9" x14ac:dyDescent="0.3">
      <c r="A82" t="s">
        <v>88</v>
      </c>
      <c r="B82">
        <v>46</v>
      </c>
      <c r="C82">
        <v>7</v>
      </c>
      <c r="D82">
        <v>3</v>
      </c>
      <c r="E82">
        <f t="shared" si="5"/>
        <v>1</v>
      </c>
      <c r="F82">
        <f t="shared" si="6"/>
        <v>1</v>
      </c>
      <c r="G82">
        <f t="shared" si="7"/>
        <v>1</v>
      </c>
      <c r="H82">
        <f t="shared" si="8"/>
        <v>3</v>
      </c>
      <c r="I82" t="str">
        <f t="shared" si="9"/>
        <v>Medium</v>
      </c>
    </row>
    <row r="83" spans="1:9" x14ac:dyDescent="0.3">
      <c r="A83" t="s">
        <v>89</v>
      </c>
      <c r="B83">
        <v>38</v>
      </c>
      <c r="C83">
        <v>5</v>
      </c>
      <c r="D83">
        <v>0</v>
      </c>
      <c r="E83">
        <f t="shared" si="5"/>
        <v>0</v>
      </c>
      <c r="F83">
        <f t="shared" si="6"/>
        <v>0</v>
      </c>
      <c r="G83">
        <f t="shared" si="7"/>
        <v>0</v>
      </c>
      <c r="H83">
        <f t="shared" si="8"/>
        <v>0</v>
      </c>
      <c r="I83" t="str">
        <f t="shared" si="9"/>
        <v>Low</v>
      </c>
    </row>
    <row r="84" spans="1:9" x14ac:dyDescent="0.3">
      <c r="A84" t="s">
        <v>90</v>
      </c>
      <c r="B84">
        <v>47</v>
      </c>
      <c r="C84">
        <v>11</v>
      </c>
      <c r="D84">
        <v>1</v>
      </c>
      <c r="E84">
        <f t="shared" si="5"/>
        <v>1</v>
      </c>
      <c r="F84">
        <f t="shared" si="6"/>
        <v>1</v>
      </c>
      <c r="G84">
        <f t="shared" si="7"/>
        <v>1</v>
      </c>
      <c r="H84">
        <f t="shared" si="8"/>
        <v>3</v>
      </c>
      <c r="I84" t="str">
        <f t="shared" si="9"/>
        <v>Medium</v>
      </c>
    </row>
  </sheetData>
  <mergeCells count="2">
    <mergeCell ref="K4:L4"/>
    <mergeCell ref="K11:M11"/>
  </mergeCells>
  <conditionalFormatting sqref="I3:I84">
    <cfRule type="cellIs" dxfId="5" priority="4" operator="equal">
      <formula>"High"</formula>
    </cfRule>
    <cfRule type="cellIs" dxfId="4" priority="5" operator="equal">
      <formula>"Medium"</formula>
    </cfRule>
    <cfRule type="cellIs" dxfId="3" priority="6" operator="equal">
      <formula>"Low"</formula>
    </cfRule>
  </conditionalFormatting>
  <conditionalFormatting sqref="I2">
    <cfRule type="cellIs" dxfId="2" priority="1" operator="equal">
      <formula>"High"</formula>
    </cfRule>
    <cfRule type="cellIs" dxfId="1" priority="2" operator="equal">
      <formula>"Medium"</formula>
    </cfRule>
    <cfRule type="cellIs" dxfId="0" priority="3" operator="equal">
      <formula>"Low"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8A907C9-E304-49A6-8A47-535BFCBD3E8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Burnout Tracker</vt:lpstr>
    </vt:vector>
  </TitlesOfParts>
  <Company>VINTAGE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Vintage Systems</dc:creator>
  <cp:lastModifiedBy>Vintage Systems</cp:lastModifiedBy>
  <dcterms:created xsi:type="dcterms:W3CDTF">2026-06-26T21:06:37Z</dcterms:created>
  <dcterms:modified xsi:type="dcterms:W3CDTF">2026-06-26T22:49:44Z</dcterms:modified>
</cp:coreProperties>
</file>