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TAGE\Documents\Excel Project Files\"/>
    </mc:Choice>
  </mc:AlternateContent>
  <xr:revisionPtr revIDLastSave="0" documentId="13_ncr:1_{1902CF2C-F68C-49FB-A82A-9F16A7AE61EF}" xr6:coauthVersionLast="47" xr6:coauthVersionMax="47" xr10:uidLastSave="{00000000-0000-0000-0000-000000000000}"/>
  <bookViews>
    <workbookView xWindow="-108" yWindow="-108" windowWidth="23256" windowHeight="12456" xr2:uid="{1464114A-726D-40C6-B3A4-99F37B28D072}"/>
  </bookViews>
  <sheets>
    <sheet name="Burnout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H56" i="1" s="1"/>
  <c r="I56" i="1" s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E5" i="1"/>
  <c r="E6" i="1"/>
  <c r="E7" i="1"/>
  <c r="E8" i="1"/>
  <c r="E9" i="1"/>
  <c r="H9" i="1" s="1"/>
  <c r="I9" i="1" s="1"/>
  <c r="E10" i="1"/>
  <c r="H10" i="1" s="1"/>
  <c r="I10" i="1" s="1"/>
  <c r="E11" i="1"/>
  <c r="E12" i="1"/>
  <c r="E13" i="1"/>
  <c r="E14" i="1"/>
  <c r="E15" i="1"/>
  <c r="E16" i="1"/>
  <c r="E17" i="1"/>
  <c r="H17" i="1" s="1"/>
  <c r="I17" i="1" s="1"/>
  <c r="E18" i="1"/>
  <c r="H18" i="1" s="1"/>
  <c r="I18" i="1" s="1"/>
  <c r="E19" i="1"/>
  <c r="E20" i="1"/>
  <c r="E21" i="1"/>
  <c r="E22" i="1"/>
  <c r="E23" i="1"/>
  <c r="E24" i="1"/>
  <c r="H24" i="1" s="1"/>
  <c r="I24" i="1" s="1"/>
  <c r="E25" i="1"/>
  <c r="H25" i="1" s="1"/>
  <c r="I25" i="1" s="1"/>
  <c r="E26" i="1"/>
  <c r="H26" i="1" s="1"/>
  <c r="I26" i="1" s="1"/>
  <c r="E27" i="1"/>
  <c r="E28" i="1"/>
  <c r="E29" i="1"/>
  <c r="E30" i="1"/>
  <c r="E31" i="1"/>
  <c r="E32" i="1"/>
  <c r="E33" i="1"/>
  <c r="H33" i="1" s="1"/>
  <c r="I33" i="1" s="1"/>
  <c r="E34" i="1"/>
  <c r="H34" i="1" s="1"/>
  <c r="I34" i="1" s="1"/>
  <c r="E35" i="1"/>
  <c r="E36" i="1"/>
  <c r="E37" i="1"/>
  <c r="E38" i="1"/>
  <c r="E39" i="1"/>
  <c r="E40" i="1"/>
  <c r="E41" i="1"/>
  <c r="H41" i="1" s="1"/>
  <c r="I41" i="1" s="1"/>
  <c r="E42" i="1"/>
  <c r="H42" i="1" s="1"/>
  <c r="I42" i="1" s="1"/>
  <c r="E43" i="1"/>
  <c r="E44" i="1"/>
  <c r="E45" i="1"/>
  <c r="E46" i="1"/>
  <c r="H46" i="1" s="1"/>
  <c r="I46" i="1" s="1"/>
  <c r="E47" i="1"/>
  <c r="E48" i="1"/>
  <c r="E49" i="1"/>
  <c r="H49" i="1" s="1"/>
  <c r="I49" i="1" s="1"/>
  <c r="E50" i="1"/>
  <c r="H50" i="1" s="1"/>
  <c r="I50" i="1" s="1"/>
  <c r="E51" i="1"/>
  <c r="E52" i="1"/>
  <c r="E53" i="1"/>
  <c r="E54" i="1"/>
  <c r="H54" i="1" s="1"/>
  <c r="I54" i="1" s="1"/>
  <c r="E55" i="1"/>
  <c r="E56" i="1"/>
  <c r="E57" i="1"/>
  <c r="H57" i="1" s="1"/>
  <c r="I57" i="1" s="1"/>
  <c r="E58" i="1"/>
  <c r="H58" i="1" s="1"/>
  <c r="I58" i="1" s="1"/>
  <c r="E59" i="1"/>
  <c r="E60" i="1"/>
  <c r="E61" i="1"/>
  <c r="E62" i="1"/>
  <c r="H62" i="1" s="1"/>
  <c r="I62" i="1" s="1"/>
  <c r="E63" i="1"/>
  <c r="E64" i="1"/>
  <c r="E65" i="1"/>
  <c r="H65" i="1" s="1"/>
  <c r="I65" i="1" s="1"/>
  <c r="E66" i="1"/>
  <c r="H66" i="1" s="1"/>
  <c r="I66" i="1" s="1"/>
  <c r="E67" i="1"/>
  <c r="E68" i="1"/>
  <c r="E69" i="1"/>
  <c r="E70" i="1"/>
  <c r="H70" i="1" s="1"/>
  <c r="I70" i="1" s="1"/>
  <c r="E71" i="1"/>
  <c r="E72" i="1"/>
  <c r="E73" i="1"/>
  <c r="H73" i="1" s="1"/>
  <c r="I73" i="1" s="1"/>
  <c r="E74" i="1"/>
  <c r="H74" i="1" s="1"/>
  <c r="I74" i="1" s="1"/>
  <c r="E75" i="1"/>
  <c r="E76" i="1"/>
  <c r="E77" i="1"/>
  <c r="E78" i="1"/>
  <c r="H78" i="1" s="1"/>
  <c r="I78" i="1" s="1"/>
  <c r="E79" i="1"/>
  <c r="E80" i="1"/>
  <c r="E81" i="1"/>
  <c r="H81" i="1" s="1"/>
  <c r="I81" i="1" s="1"/>
  <c r="E82" i="1"/>
  <c r="H82" i="1" s="1"/>
  <c r="I82" i="1" s="1"/>
  <c r="E83" i="1"/>
  <c r="E84" i="1"/>
  <c r="E85" i="1"/>
  <c r="H80" i="1" l="1"/>
  <c r="I80" i="1" s="1"/>
  <c r="H64" i="1"/>
  <c r="I64" i="1" s="1"/>
  <c r="H48" i="1"/>
  <c r="I48" i="1" s="1"/>
  <c r="H40" i="1"/>
  <c r="I40" i="1" s="1"/>
  <c r="H32" i="1"/>
  <c r="I32" i="1" s="1"/>
  <c r="H16" i="1"/>
  <c r="I16" i="1" s="1"/>
  <c r="H8" i="1"/>
  <c r="I8" i="1" s="1"/>
  <c r="H72" i="1"/>
  <c r="I72" i="1" s="1"/>
  <c r="H79" i="1"/>
  <c r="I79" i="1" s="1"/>
  <c r="H71" i="1"/>
  <c r="I71" i="1" s="1"/>
  <c r="H4" i="1"/>
  <c r="I4" i="1" s="1"/>
  <c r="H83" i="1"/>
  <c r="I83" i="1" s="1"/>
  <c r="H75" i="1"/>
  <c r="I75" i="1" s="1"/>
  <c r="H67" i="1"/>
  <c r="I67" i="1" s="1"/>
  <c r="H59" i="1"/>
  <c r="I59" i="1" s="1"/>
  <c r="H51" i="1"/>
  <c r="I51" i="1" s="1"/>
  <c r="H43" i="1"/>
  <c r="I43" i="1" s="1"/>
  <c r="H35" i="1"/>
  <c r="I35" i="1" s="1"/>
  <c r="H27" i="1"/>
  <c r="I27" i="1" s="1"/>
  <c r="H19" i="1"/>
  <c r="I19" i="1" s="1"/>
  <c r="H11" i="1"/>
  <c r="I11" i="1" s="1"/>
  <c r="H63" i="1"/>
  <c r="I63" i="1" s="1"/>
  <c r="H55" i="1"/>
  <c r="I55" i="1" s="1"/>
  <c r="H47" i="1"/>
  <c r="I47" i="1" s="1"/>
  <c r="H39" i="1"/>
  <c r="I39" i="1" s="1"/>
  <c r="H31" i="1"/>
  <c r="I31" i="1" s="1"/>
  <c r="H23" i="1"/>
  <c r="I23" i="1" s="1"/>
  <c r="H15" i="1"/>
  <c r="I15" i="1" s="1"/>
  <c r="H7" i="1"/>
  <c r="I7" i="1" s="1"/>
  <c r="H85" i="1"/>
  <c r="I85" i="1" s="1"/>
  <c r="H77" i="1"/>
  <c r="I77" i="1" s="1"/>
  <c r="H69" i="1"/>
  <c r="I69" i="1" s="1"/>
  <c r="H61" i="1"/>
  <c r="I61" i="1" s="1"/>
  <c r="H53" i="1"/>
  <c r="I53" i="1" s="1"/>
  <c r="H45" i="1"/>
  <c r="I45" i="1" s="1"/>
  <c r="H37" i="1"/>
  <c r="I37" i="1" s="1"/>
  <c r="H29" i="1"/>
  <c r="I29" i="1" s="1"/>
  <c r="H21" i="1"/>
  <c r="I21" i="1" s="1"/>
  <c r="H13" i="1"/>
  <c r="I13" i="1" s="1"/>
  <c r="H5" i="1"/>
  <c r="I5" i="1" s="1"/>
  <c r="H38" i="1"/>
  <c r="I38" i="1" s="1"/>
  <c r="H30" i="1"/>
  <c r="I30" i="1" s="1"/>
  <c r="H22" i="1"/>
  <c r="I22" i="1" s="1"/>
  <c r="H14" i="1"/>
  <c r="I14" i="1" s="1"/>
  <c r="H6" i="1"/>
  <c r="I6" i="1" s="1"/>
  <c r="H84" i="1"/>
  <c r="I84" i="1" s="1"/>
  <c r="H76" i="1"/>
  <c r="I76" i="1" s="1"/>
  <c r="H68" i="1"/>
  <c r="I68" i="1" s="1"/>
  <c r="H60" i="1"/>
  <c r="I60" i="1" s="1"/>
  <c r="H52" i="1"/>
  <c r="I52" i="1" s="1"/>
  <c r="H44" i="1"/>
  <c r="I44" i="1" s="1"/>
  <c r="H36" i="1"/>
  <c r="I36" i="1" s="1"/>
  <c r="H28" i="1"/>
  <c r="I28" i="1" s="1"/>
  <c r="H20" i="1"/>
  <c r="I20" i="1" s="1"/>
  <c r="H12" i="1"/>
  <c r="I12" i="1" s="1"/>
  <c r="L8" i="1" l="1"/>
  <c r="L7" i="1"/>
  <c r="L6" i="1"/>
  <c r="L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CE356-68FD-471F-A8D6-64AC43CC071A}" keepAlive="1" name="Query - burnout_data_82" description="Connection to the 'burnout_data_82' query in the workbook." type="5" refreshedVersion="0" background="1">
    <dbPr connection="Provider=Microsoft.Mashup.OleDb.1;Data Source=$Workbook$;Location=burnout_data_82;Extended Properties=&quot;&quot;" command="SELECT * FROM [burnout_data_82]"/>
  </connection>
</connections>
</file>

<file path=xl/sharedStrings.xml><?xml version="1.0" encoding="utf-8"?>
<sst xmlns="http://schemas.openxmlformats.org/spreadsheetml/2006/main" count="123" uniqueCount="120">
  <si>
    <t>Employee Name</t>
  </si>
  <si>
    <t>Working Hours (per week)</t>
  </si>
  <si>
    <t>Overtime Days (per month)</t>
  </si>
  <si>
    <t>Weekend Work Days (per month)</t>
  </si>
  <si>
    <t>Hours Score</t>
  </si>
  <si>
    <t>Overtime Score</t>
  </si>
  <si>
    <t>Weekend Score</t>
  </si>
  <si>
    <t>Total Score</t>
  </si>
  <si>
    <t>Burnout Risk</t>
  </si>
  <si>
    <t>Jahangir Islam</t>
  </si>
  <si>
    <t>Rabeya Sarkar</t>
  </si>
  <si>
    <t>Manik Molla</t>
  </si>
  <si>
    <t>Lovely Islam</t>
  </si>
  <si>
    <t>Shahana Akhtar</t>
  </si>
  <si>
    <t>Beauty Chowdhury</t>
  </si>
  <si>
    <t>Farida Molla</t>
  </si>
  <si>
    <t>Rahim Pramanik</t>
  </si>
  <si>
    <t>Bakul Rahman</t>
  </si>
  <si>
    <t>Ashraf Molla</t>
  </si>
  <si>
    <t>Shahidul Miah</t>
  </si>
  <si>
    <t>Manik Islam</t>
  </si>
  <si>
    <t>Belal Pramanik</t>
  </si>
  <si>
    <t>Razia Molla</t>
  </si>
  <si>
    <t>Khadiza Talukder</t>
  </si>
  <si>
    <t>Shahnaz Mondol</t>
  </si>
  <si>
    <t>Shahin Rahman</t>
  </si>
  <si>
    <t>Sultana Talukder</t>
  </si>
  <si>
    <t>Roksana Hawladar</t>
  </si>
  <si>
    <t>Belal Talukder</t>
  </si>
  <si>
    <t>Rahim Ahmed</t>
  </si>
  <si>
    <t>Rofiqul Rahman</t>
  </si>
  <si>
    <t>Rabeya Akhtar</t>
  </si>
  <si>
    <t>Khadiza Sheikh</t>
  </si>
  <si>
    <t>Sohel Sheikh</t>
  </si>
  <si>
    <t>Jesmin Pramanik</t>
  </si>
  <si>
    <t>Aminul Begum</t>
  </si>
  <si>
    <t>Mizanur Ahmed</t>
  </si>
  <si>
    <t>Lovely Hawladar</t>
  </si>
  <si>
    <t>Yasin Akter</t>
  </si>
  <si>
    <t>Iqbal Ahmed</t>
  </si>
  <si>
    <t>Nazrul Rahman</t>
  </si>
  <si>
    <t>Asad Uddin</t>
  </si>
  <si>
    <t>Farida Khan</t>
  </si>
  <si>
    <t>Aminul Hawladar</t>
  </si>
  <si>
    <t>Rina Sheikh</t>
  </si>
  <si>
    <t>Sultana Akhtar</t>
  </si>
  <si>
    <t>Beauty Talukder</t>
  </si>
  <si>
    <t>Ferdousi Talukder</t>
  </si>
  <si>
    <t>Morsheda Alam</t>
  </si>
  <si>
    <t>Rahim Islam</t>
  </si>
  <si>
    <t>Alauddin Khan</t>
  </si>
  <si>
    <t>Roksana Pramanik</t>
  </si>
  <si>
    <t>Hosne Hossain</t>
  </si>
  <si>
    <t>Morsheda Islam</t>
  </si>
  <si>
    <t>Mostafa Alam</t>
  </si>
  <si>
    <t>Hosne Pramanik</t>
  </si>
  <si>
    <t>Manik Sheikh</t>
  </si>
  <si>
    <t>Tofazzol Molla</t>
  </si>
  <si>
    <t>Nasima Begum</t>
  </si>
  <si>
    <t>Aminul Sheikh</t>
  </si>
  <si>
    <t>Halima Khan</t>
  </si>
  <si>
    <t>Nargis Pramanik</t>
  </si>
  <si>
    <t>Jamal Khan</t>
  </si>
  <si>
    <t>Nargis Sheikh</t>
  </si>
  <si>
    <t>Rina Ahmed</t>
  </si>
  <si>
    <t>Iqbal Chowdhury</t>
  </si>
  <si>
    <t>Yasin Miah</t>
  </si>
  <si>
    <t>Jahanara Akter</t>
  </si>
  <si>
    <t>Poppy Alam</t>
  </si>
  <si>
    <t>Shirin Talukder</t>
  </si>
  <si>
    <t>Khaleda Rahman</t>
  </si>
  <si>
    <t>Shahidul Molla</t>
  </si>
  <si>
    <t>Hannan Miah</t>
  </si>
  <si>
    <t>Jahanara Sheikh</t>
  </si>
  <si>
    <t>Sultana Hossain</t>
  </si>
  <si>
    <t>Mahbub Molla</t>
  </si>
  <si>
    <t>Sumi Akhtar</t>
  </si>
  <si>
    <t>Babul Bhuiyan</t>
  </si>
  <si>
    <t>Rahim Sarkar</t>
  </si>
  <si>
    <t>Sultana Mondol</t>
  </si>
  <si>
    <t>Jahanara Hawladar</t>
  </si>
  <si>
    <t>Nazrul Bhuiyan</t>
  </si>
  <si>
    <t>Nazrul Chowdhury</t>
  </si>
  <si>
    <t>Rabeya Bhuiyan</t>
  </si>
  <si>
    <t>Tania Talukder</t>
  </si>
  <si>
    <t>Parveen Talukder</t>
  </si>
  <si>
    <t>Lutfor Sheikh</t>
  </si>
  <si>
    <t>Shahin Hawladar</t>
  </si>
  <si>
    <t>Bakul Uddin</t>
  </si>
  <si>
    <t>Kamal Akhtar</t>
  </si>
  <si>
    <t>Tania Akter</t>
  </si>
  <si>
    <t>Burnout Risk Summary</t>
  </si>
  <si>
    <t>Low Risk</t>
  </si>
  <si>
    <t>Medium Risk</t>
  </si>
  <si>
    <t>High Risk</t>
  </si>
  <si>
    <t>Scoring Rules</t>
  </si>
  <si>
    <t>≤ 45 hrs → 0 pts</t>
  </si>
  <si>
    <t>46–55 hrs → 1 pt</t>
  </si>
  <si>
    <t>&gt; 55 hrs → 2 pts</t>
  </si>
  <si>
    <t>0–5 days → 0 pts</t>
  </si>
  <si>
    <t>6–15 days → 1 pt</t>
  </si>
  <si>
    <t>&gt; 15 days → 2 pts</t>
  </si>
  <si>
    <t>0 days → 0 pts</t>
  </si>
  <si>
    <t>1–3 days → 1 pt</t>
  </si>
  <si>
    <t>&gt; 3 days → 2 pts</t>
  </si>
  <si>
    <t>Total Score → Burnout Risk</t>
  </si>
  <si>
    <t>0–2 → Low</t>
  </si>
  <si>
    <t>3–4 → Medium</t>
  </si>
  <si>
    <t>5–6 → High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</si>
  <si>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</si>
  <si>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</si>
  <si>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</si>
  <si>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</si>
  <si>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</si>
  <si>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</si>
  <si>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</si>
  <si>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</si>
  <si>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</si>
  <si>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Total Employee</t>
  </si>
  <si>
    <t>Workforce Burnout Risk Predictor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</si>
</sst>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1ABD5"/>
        <bgColor indexed="64"/>
      </patternFill>
    </fill>
    <fill>
      <patternFill patternType="solid">
        <fgColor rgb="FFB1CBE5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1ABD5"/>
      <color rgb="FFB1CBE5"/>
      <color rgb="FF6397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833A3-B509-4777-B99D-1BE849C45434}" name="Table4" displayName="Table4" ref="A3:I85" totalsRowShown="0">
  <autoFilter ref="A3:I85" xr:uid="{D7C833A3-B509-4777-B99D-1BE849C45434}"/>
  <tableColumns count="9">
    <tableColumn id="1" xr3:uid="{88984C14-5E5E-4B77-9A2B-A0F82EE395F2}" name="Column1"/>
    <tableColumn id="2" xr3:uid="{80DD54B3-00CE-48D7-A467-712B515F84DB}" name="Column2"/>
    <tableColumn id="3" xr3:uid="{4DCD2093-1693-4A7B-A02F-E3F21735967E}" name="Column3"/>
    <tableColumn id="4" xr3:uid="{2D0EB03F-46EE-4C34-9B03-87DB60231628}" name="Column4"/>
    <tableColumn id="5" xr3:uid="{2612DF9B-3309-4B0C-89AB-25DDB1217680}" name="Column5">
      <calculatedColumnFormula>IF(B4&lt;=45,0,IF(B4&lt;=55,1,2))</calculatedColumnFormula>
    </tableColumn>
    <tableColumn id="6" xr3:uid="{AE9859A7-B8B8-44D5-9B04-2B3D4089C257}" name="Column6">
      <calculatedColumnFormula>IF(C4&lt;=5,0,IF(C4&lt;=15,1,2))</calculatedColumnFormula>
    </tableColumn>
    <tableColumn id="7" xr3:uid="{C3BABC02-D334-4678-9842-6B79AEA589FE}" name="Column7">
      <calculatedColumnFormula>IF(D4&gt;3,2,IF(D4&gt;=1,1,0))</calculatedColumnFormula>
    </tableColumn>
    <tableColumn id="8" xr3:uid="{92D6AED2-B26D-4EB3-9EB6-6D7C0DA4F937}" name="Column8">
      <calculatedColumnFormula>SUM(E4:G4)</calculatedColumnFormula>
    </tableColumn>
    <tableColumn id="9" xr3:uid="{DB4A3981-2409-4CA1-B857-42CE475C32AD}" name="Column9">
      <calculatedColumnFormula>IF(H4&lt;=2,"Low",IF(H4&lt;=4,"Medium","High"))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07DB-FF3E-4AB5-86D0-A1A0A211FC1B}">
  <dimension ref="A1:M85"/>
  <sheetViews>
    <sheetView tabSelected="1" zoomScale="135" zoomScaleNormal="135" workbookViewId="0">
      <pane ySplit="2" topLeftCell="A4" activePane="bottomLeft" state="frozen"/>
      <selection pane="bottomLeft" activeCell="M19" sqref="M19"/>
    </sheetView>
  </sheetViews>
  <sheetFormatPr defaultRowHeight="14.4" x14ac:dyDescent="0.3"/>
  <cols>
    <col min="1" max="1" width="14.88671875" bestFit="1" customWidth="1"/>
    <col min="2" max="2" width="22.6640625" bestFit="1" customWidth="1"/>
    <col min="3" max="3" width="23.6640625" bestFit="1" customWidth="1"/>
    <col min="4" max="4" width="28.77734375" bestFit="1" customWidth="1"/>
    <col min="5" max="5" width="11.109375" bestFit="1" customWidth="1"/>
    <col min="6" max="6" width="14" bestFit="1" customWidth="1"/>
    <col min="7" max="7" width="14.109375" bestFit="1" customWidth="1"/>
    <col min="8" max="8" width="10.33203125" bestFit="1" customWidth="1"/>
    <col min="9" max="9" width="11.6640625" bestFit="1" customWidth="1"/>
    <col min="11" max="11" width="29.33203125" bestFit="1" customWidth="1"/>
    <col min="13" max="13" width="23.5546875" bestFit="1" customWidth="1"/>
  </cols>
  <sheetData>
    <row r="1" spans="1:13" ht="47.4" x14ac:dyDescent="0.9">
      <c r="A1" s="4" t="s">
        <v>119</v>
      </c>
      <c r="B1" s="4"/>
      <c r="C1" s="4"/>
      <c r="D1" s="4"/>
      <c r="E1" s="4"/>
      <c r="F1" s="4"/>
      <c r="G1" s="4"/>
      <c r="H1" s="4"/>
      <c r="I1" s="4"/>
    </row>
    <row r="2" spans="1:13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K2" s="1"/>
      <c r="L2" s="1"/>
    </row>
    <row r="3" spans="1:13" hidden="1" x14ac:dyDescent="0.3">
      <c r="A3" t="s">
        <v>109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117</v>
      </c>
    </row>
    <row r="4" spans="1:13" x14ac:dyDescent="0.3">
      <c r="A4" s="5" t="s">
        <v>9</v>
      </c>
      <c r="B4" s="5">
        <v>53</v>
      </c>
      <c r="C4" s="5">
        <v>6</v>
      </c>
      <c r="D4" s="5">
        <v>1</v>
      </c>
      <c r="E4" s="5">
        <f>IF(B4&lt;=45,0,IF(B4&lt;=55,1,2))</f>
        <v>1</v>
      </c>
      <c r="F4" s="5">
        <f>IF(C4&lt;=5,0,IF(C4&lt;=15,1,2))</f>
        <v>1</v>
      </c>
      <c r="G4" s="5">
        <f>IF(D4&gt;3,2,IF(D4&gt;=1,1,0))</f>
        <v>1</v>
      </c>
      <c r="H4" s="5">
        <f>SUM(E4:G4)</f>
        <v>3</v>
      </c>
      <c r="I4" t="str">
        <f>IF(H4&lt;=2,"Low",IF(H4&lt;=4,"Medium","High"))</f>
        <v>Medium</v>
      </c>
    </row>
    <row r="5" spans="1:13" x14ac:dyDescent="0.3">
      <c r="A5" s="5" t="s">
        <v>10</v>
      </c>
      <c r="B5" s="5">
        <v>44</v>
      </c>
      <c r="C5" s="5">
        <v>0</v>
      </c>
      <c r="D5" s="5">
        <v>0</v>
      </c>
      <c r="E5" s="5">
        <f t="shared" ref="E5:E68" si="0">IF(B5&lt;=45,0,IF(B5&lt;=55,1,2))</f>
        <v>0</v>
      </c>
      <c r="F5" s="5">
        <f t="shared" ref="F5:F68" si="1">IF(C5&lt;=5,0,IF(C5&lt;=15,1,2))</f>
        <v>0</v>
      </c>
      <c r="G5" s="5">
        <f t="shared" ref="G5:G68" si="2">IF(D5&gt;3,2,IF(D5&gt;=1,1,0))</f>
        <v>0</v>
      </c>
      <c r="H5" s="5">
        <f t="shared" ref="H5:H68" si="3">SUM(E5:G5)</f>
        <v>0</v>
      </c>
      <c r="I5" t="str">
        <f t="shared" ref="I5:I68" si="4">IF(H5&lt;=2,"Low",IF(H5&lt;=4,"Medium","High"))</f>
        <v>Low</v>
      </c>
      <c r="K5" s="2" t="s">
        <v>91</v>
      </c>
      <c r="L5" s="2"/>
    </row>
    <row r="6" spans="1:13" x14ac:dyDescent="0.3">
      <c r="A6" s="5" t="s">
        <v>11</v>
      </c>
      <c r="B6" s="5">
        <v>61</v>
      </c>
      <c r="C6" s="5">
        <v>17</v>
      </c>
      <c r="D6" s="5">
        <v>6</v>
      </c>
      <c r="E6" s="5">
        <f t="shared" si="0"/>
        <v>2</v>
      </c>
      <c r="F6" s="5">
        <f t="shared" si="1"/>
        <v>2</v>
      </c>
      <c r="G6" s="5">
        <f t="shared" si="2"/>
        <v>2</v>
      </c>
      <c r="H6" s="5">
        <f t="shared" si="3"/>
        <v>6</v>
      </c>
      <c r="I6" t="str">
        <f t="shared" si="4"/>
        <v>High</v>
      </c>
      <c r="K6" s="8" t="s">
        <v>92</v>
      </c>
      <c r="L6" s="9">
        <f>COUNTIF(I4:I85,"Low")</f>
        <v>28</v>
      </c>
    </row>
    <row r="7" spans="1:13" x14ac:dyDescent="0.3">
      <c r="A7" s="5" t="s">
        <v>12</v>
      </c>
      <c r="B7" s="5">
        <v>48</v>
      </c>
      <c r="C7" s="5">
        <v>8</v>
      </c>
      <c r="D7" s="5">
        <v>2</v>
      </c>
      <c r="E7" s="5">
        <f t="shared" si="0"/>
        <v>1</v>
      </c>
      <c r="F7" s="5">
        <f t="shared" si="1"/>
        <v>1</v>
      </c>
      <c r="G7" s="5">
        <f t="shared" si="2"/>
        <v>1</v>
      </c>
      <c r="H7" s="5">
        <f t="shared" si="3"/>
        <v>3</v>
      </c>
      <c r="I7" t="str">
        <f t="shared" si="4"/>
        <v>Medium</v>
      </c>
      <c r="K7" s="8" t="s">
        <v>93</v>
      </c>
      <c r="L7" s="9">
        <f>COUNTIF(I4:I85,"Medium")</f>
        <v>28</v>
      </c>
    </row>
    <row r="8" spans="1:13" x14ac:dyDescent="0.3">
      <c r="A8" s="5" t="s">
        <v>13</v>
      </c>
      <c r="B8" s="5">
        <v>53</v>
      </c>
      <c r="C8" s="5">
        <v>8</v>
      </c>
      <c r="D8" s="5">
        <v>2</v>
      </c>
      <c r="E8" s="5">
        <f t="shared" si="0"/>
        <v>1</v>
      </c>
      <c r="F8" s="5">
        <f t="shared" si="1"/>
        <v>1</v>
      </c>
      <c r="G8" s="5">
        <f t="shared" si="2"/>
        <v>1</v>
      </c>
      <c r="H8" s="5">
        <f t="shared" si="3"/>
        <v>3</v>
      </c>
      <c r="I8" t="str">
        <f t="shared" si="4"/>
        <v>Medium</v>
      </c>
      <c r="K8" s="8" t="s">
        <v>94</v>
      </c>
      <c r="L8" s="9">
        <f>COUNTIF(I4:I85,"High")</f>
        <v>26</v>
      </c>
    </row>
    <row r="9" spans="1:13" x14ac:dyDescent="0.3">
      <c r="A9" s="5" t="s">
        <v>14</v>
      </c>
      <c r="B9" s="5">
        <v>64</v>
      </c>
      <c r="C9" s="5">
        <v>16</v>
      </c>
      <c r="D9" s="5">
        <v>1</v>
      </c>
      <c r="E9" s="5">
        <f t="shared" si="0"/>
        <v>2</v>
      </c>
      <c r="F9" s="5">
        <f t="shared" si="1"/>
        <v>2</v>
      </c>
      <c r="G9" s="5">
        <f t="shared" si="2"/>
        <v>1</v>
      </c>
      <c r="H9" s="5">
        <f t="shared" si="3"/>
        <v>5</v>
      </c>
      <c r="I9" t="str">
        <f t="shared" si="4"/>
        <v>High</v>
      </c>
      <c r="K9" s="8" t="s">
        <v>118</v>
      </c>
      <c r="L9" s="9">
        <f>SUM(L6:L8)</f>
        <v>82</v>
      </c>
    </row>
    <row r="10" spans="1:13" x14ac:dyDescent="0.3">
      <c r="A10" s="5" t="s">
        <v>15</v>
      </c>
      <c r="B10" s="5">
        <v>60</v>
      </c>
      <c r="C10" s="5">
        <v>17</v>
      </c>
      <c r="D10" s="5">
        <v>5</v>
      </c>
      <c r="E10" s="5">
        <f t="shared" si="0"/>
        <v>2</v>
      </c>
      <c r="F10" s="5">
        <f t="shared" si="1"/>
        <v>2</v>
      </c>
      <c r="G10" s="5">
        <f t="shared" si="2"/>
        <v>2</v>
      </c>
      <c r="H10" s="5">
        <f t="shared" si="3"/>
        <v>6</v>
      </c>
      <c r="I10" t="str">
        <f t="shared" si="4"/>
        <v>High</v>
      </c>
    </row>
    <row r="11" spans="1:13" x14ac:dyDescent="0.3">
      <c r="A11" s="5" t="s">
        <v>16</v>
      </c>
      <c r="B11" s="5">
        <v>43</v>
      </c>
      <c r="C11" s="5">
        <v>0</v>
      </c>
      <c r="D11" s="5">
        <v>0</v>
      </c>
      <c r="E11" s="5">
        <f t="shared" si="0"/>
        <v>0</v>
      </c>
      <c r="F11" s="5">
        <f t="shared" si="1"/>
        <v>0</v>
      </c>
      <c r="G11" s="5">
        <f t="shared" si="2"/>
        <v>0</v>
      </c>
      <c r="H11" s="5">
        <f t="shared" si="3"/>
        <v>0</v>
      </c>
      <c r="I11" t="str">
        <f t="shared" si="4"/>
        <v>Low</v>
      </c>
    </row>
    <row r="12" spans="1:13" x14ac:dyDescent="0.3">
      <c r="A12" s="5" t="s">
        <v>17</v>
      </c>
      <c r="B12" s="5">
        <v>48</v>
      </c>
      <c r="C12" s="5">
        <v>14</v>
      </c>
      <c r="D12" s="5">
        <v>1</v>
      </c>
      <c r="E12" s="5">
        <f t="shared" si="0"/>
        <v>1</v>
      </c>
      <c r="F12" s="5">
        <f t="shared" si="1"/>
        <v>1</v>
      </c>
      <c r="G12" s="5">
        <f t="shared" si="2"/>
        <v>1</v>
      </c>
      <c r="H12" s="5">
        <f t="shared" si="3"/>
        <v>3</v>
      </c>
      <c r="I12" t="str">
        <f t="shared" si="4"/>
        <v>Medium</v>
      </c>
      <c r="K12" s="3" t="s">
        <v>95</v>
      </c>
      <c r="L12" s="3"/>
      <c r="M12" s="3"/>
    </row>
    <row r="13" spans="1:13" x14ac:dyDescent="0.3">
      <c r="A13" s="5" t="s">
        <v>18</v>
      </c>
      <c r="B13" s="5">
        <v>62</v>
      </c>
      <c r="C13" s="5">
        <v>23</v>
      </c>
      <c r="D13" s="5">
        <v>5</v>
      </c>
      <c r="E13" s="5">
        <f t="shared" si="0"/>
        <v>2</v>
      </c>
      <c r="F13" s="5">
        <f t="shared" si="1"/>
        <v>2</v>
      </c>
      <c r="G13" s="5">
        <f t="shared" si="2"/>
        <v>2</v>
      </c>
      <c r="H13" s="5">
        <f t="shared" si="3"/>
        <v>6</v>
      </c>
      <c r="I13" t="str">
        <f t="shared" si="4"/>
        <v>High</v>
      </c>
    </row>
    <row r="14" spans="1:13" x14ac:dyDescent="0.3">
      <c r="A14" s="6" t="s">
        <v>19</v>
      </c>
      <c r="B14" s="6">
        <v>60</v>
      </c>
      <c r="C14" s="6">
        <v>23</v>
      </c>
      <c r="D14" s="6">
        <v>7</v>
      </c>
      <c r="E14" s="6">
        <f t="shared" si="0"/>
        <v>2</v>
      </c>
      <c r="F14" s="6">
        <f t="shared" si="1"/>
        <v>2</v>
      </c>
      <c r="G14" s="6">
        <f t="shared" si="2"/>
        <v>2</v>
      </c>
      <c r="H14" s="6">
        <f t="shared" si="3"/>
        <v>6</v>
      </c>
      <c r="I14" t="str">
        <f t="shared" si="4"/>
        <v>High</v>
      </c>
      <c r="K14" s="10" t="s">
        <v>1</v>
      </c>
      <c r="M14" s="10" t="s">
        <v>2</v>
      </c>
    </row>
    <row r="15" spans="1:13" x14ac:dyDescent="0.3">
      <c r="A15" s="6" t="s">
        <v>20</v>
      </c>
      <c r="B15" s="6">
        <v>54</v>
      </c>
      <c r="C15" s="6">
        <v>9</v>
      </c>
      <c r="D15" s="6">
        <v>1</v>
      </c>
      <c r="E15" s="6">
        <f t="shared" si="0"/>
        <v>1</v>
      </c>
      <c r="F15" s="6">
        <f t="shared" si="1"/>
        <v>1</v>
      </c>
      <c r="G15" s="6">
        <f t="shared" si="2"/>
        <v>1</v>
      </c>
      <c r="H15" s="6">
        <f t="shared" si="3"/>
        <v>3</v>
      </c>
      <c r="I15" t="str">
        <f t="shared" si="4"/>
        <v>Medium</v>
      </c>
      <c r="K15" s="8" t="s">
        <v>96</v>
      </c>
      <c r="M15" s="9" t="s">
        <v>99</v>
      </c>
    </row>
    <row r="16" spans="1:13" x14ac:dyDescent="0.3">
      <c r="A16" s="6" t="s">
        <v>21</v>
      </c>
      <c r="B16" s="6">
        <v>56</v>
      </c>
      <c r="C16" s="6">
        <v>18</v>
      </c>
      <c r="D16" s="6">
        <v>4</v>
      </c>
      <c r="E16" s="6">
        <f t="shared" si="0"/>
        <v>2</v>
      </c>
      <c r="F16" s="6">
        <f t="shared" si="1"/>
        <v>2</v>
      </c>
      <c r="G16" s="6">
        <f t="shared" si="2"/>
        <v>2</v>
      </c>
      <c r="H16" s="6">
        <f t="shared" si="3"/>
        <v>6</v>
      </c>
      <c r="I16" t="str">
        <f t="shared" si="4"/>
        <v>High</v>
      </c>
      <c r="K16" s="9" t="s">
        <v>97</v>
      </c>
      <c r="M16" s="8" t="s">
        <v>100</v>
      </c>
    </row>
    <row r="17" spans="1:13" x14ac:dyDescent="0.3">
      <c r="A17" s="6" t="s">
        <v>22</v>
      </c>
      <c r="B17" s="6">
        <v>64</v>
      </c>
      <c r="C17" s="6">
        <v>17</v>
      </c>
      <c r="D17" s="6">
        <v>1</v>
      </c>
      <c r="E17" s="6">
        <f t="shared" si="0"/>
        <v>2</v>
      </c>
      <c r="F17" s="6">
        <f t="shared" si="1"/>
        <v>2</v>
      </c>
      <c r="G17" s="6">
        <f t="shared" si="2"/>
        <v>1</v>
      </c>
      <c r="H17" s="6">
        <f t="shared" si="3"/>
        <v>5</v>
      </c>
      <c r="I17" t="str">
        <f t="shared" si="4"/>
        <v>High</v>
      </c>
      <c r="K17" s="8" t="s">
        <v>98</v>
      </c>
      <c r="M17" s="9" t="s">
        <v>101</v>
      </c>
    </row>
    <row r="18" spans="1:13" x14ac:dyDescent="0.3">
      <c r="A18" s="6" t="s">
        <v>23</v>
      </c>
      <c r="B18" s="6">
        <v>65</v>
      </c>
      <c r="C18" s="6">
        <v>24</v>
      </c>
      <c r="D18" s="6">
        <v>1</v>
      </c>
      <c r="E18" s="6">
        <f t="shared" si="0"/>
        <v>2</v>
      </c>
      <c r="F18" s="6">
        <f t="shared" si="1"/>
        <v>2</v>
      </c>
      <c r="G18" s="6">
        <f t="shared" si="2"/>
        <v>1</v>
      </c>
      <c r="H18" s="6">
        <f t="shared" si="3"/>
        <v>5</v>
      </c>
      <c r="I18" t="str">
        <f t="shared" si="4"/>
        <v>High</v>
      </c>
    </row>
    <row r="19" spans="1:13" x14ac:dyDescent="0.3">
      <c r="A19" s="6" t="s">
        <v>24</v>
      </c>
      <c r="B19" s="6">
        <v>51</v>
      </c>
      <c r="C19" s="6">
        <v>15</v>
      </c>
      <c r="D19" s="6">
        <v>2</v>
      </c>
      <c r="E19" s="6">
        <f t="shared" si="0"/>
        <v>1</v>
      </c>
      <c r="F19" s="6">
        <f t="shared" si="1"/>
        <v>1</v>
      </c>
      <c r="G19" s="6">
        <f t="shared" si="2"/>
        <v>1</v>
      </c>
      <c r="H19" s="6">
        <f t="shared" si="3"/>
        <v>3</v>
      </c>
      <c r="I19" t="str">
        <f t="shared" si="4"/>
        <v>Medium</v>
      </c>
      <c r="K19" s="10" t="s">
        <v>3</v>
      </c>
      <c r="M19" s="10" t="s">
        <v>105</v>
      </c>
    </row>
    <row r="20" spans="1:13" x14ac:dyDescent="0.3">
      <c r="A20" s="6" t="s">
        <v>25</v>
      </c>
      <c r="B20" s="6">
        <v>44</v>
      </c>
      <c r="C20" s="6">
        <v>2</v>
      </c>
      <c r="D20" s="6">
        <v>1</v>
      </c>
      <c r="E20" s="6">
        <f t="shared" si="0"/>
        <v>0</v>
      </c>
      <c r="F20" s="6">
        <f t="shared" si="1"/>
        <v>0</v>
      </c>
      <c r="G20" s="6">
        <f t="shared" si="2"/>
        <v>1</v>
      </c>
      <c r="H20" s="6">
        <f t="shared" si="3"/>
        <v>1</v>
      </c>
      <c r="I20" t="str">
        <f t="shared" si="4"/>
        <v>Low</v>
      </c>
      <c r="K20" s="9" t="s">
        <v>102</v>
      </c>
      <c r="M20" s="8" t="s">
        <v>106</v>
      </c>
    </row>
    <row r="21" spans="1:13" x14ac:dyDescent="0.3">
      <c r="A21" s="6" t="s">
        <v>26</v>
      </c>
      <c r="B21" s="6">
        <v>52</v>
      </c>
      <c r="C21" s="6">
        <v>15</v>
      </c>
      <c r="D21" s="6">
        <v>2</v>
      </c>
      <c r="E21" s="6">
        <f t="shared" si="0"/>
        <v>1</v>
      </c>
      <c r="F21" s="6">
        <f t="shared" si="1"/>
        <v>1</v>
      </c>
      <c r="G21" s="6">
        <f t="shared" si="2"/>
        <v>1</v>
      </c>
      <c r="H21" s="6">
        <f t="shared" si="3"/>
        <v>3</v>
      </c>
      <c r="I21" t="str">
        <f t="shared" si="4"/>
        <v>Medium</v>
      </c>
      <c r="K21" s="8" t="s">
        <v>103</v>
      </c>
      <c r="M21" s="9" t="s">
        <v>107</v>
      </c>
    </row>
    <row r="22" spans="1:13" x14ac:dyDescent="0.3">
      <c r="A22" s="6" t="s">
        <v>27</v>
      </c>
      <c r="B22" s="6">
        <v>42</v>
      </c>
      <c r="C22" s="6">
        <v>0</v>
      </c>
      <c r="D22" s="6">
        <v>1</v>
      </c>
      <c r="E22" s="6">
        <f t="shared" si="0"/>
        <v>0</v>
      </c>
      <c r="F22" s="6">
        <f t="shared" si="1"/>
        <v>0</v>
      </c>
      <c r="G22" s="6">
        <f t="shared" si="2"/>
        <v>1</v>
      </c>
      <c r="H22" s="6">
        <f t="shared" si="3"/>
        <v>1</v>
      </c>
      <c r="I22" t="str">
        <f t="shared" si="4"/>
        <v>Low</v>
      </c>
      <c r="K22" s="9" t="s">
        <v>104</v>
      </c>
      <c r="M22" s="8" t="s">
        <v>108</v>
      </c>
    </row>
    <row r="23" spans="1:13" x14ac:dyDescent="0.3">
      <c r="A23" s="6" t="s">
        <v>28</v>
      </c>
      <c r="B23" s="6">
        <v>54</v>
      </c>
      <c r="C23" s="6">
        <v>14</v>
      </c>
      <c r="D23" s="6">
        <v>1</v>
      </c>
      <c r="E23" s="6">
        <f t="shared" si="0"/>
        <v>1</v>
      </c>
      <c r="F23" s="6">
        <f t="shared" si="1"/>
        <v>1</v>
      </c>
      <c r="G23" s="6">
        <f t="shared" si="2"/>
        <v>1</v>
      </c>
      <c r="H23" s="6">
        <f t="shared" si="3"/>
        <v>3</v>
      </c>
      <c r="I23" t="str">
        <f t="shared" si="4"/>
        <v>Medium</v>
      </c>
    </row>
    <row r="24" spans="1:13" x14ac:dyDescent="0.3">
      <c r="A24" s="5" t="s">
        <v>29</v>
      </c>
      <c r="B24" s="5">
        <v>39</v>
      </c>
      <c r="C24" s="5">
        <v>0</v>
      </c>
      <c r="D24" s="5">
        <v>1</v>
      </c>
      <c r="E24" s="5">
        <f t="shared" si="0"/>
        <v>0</v>
      </c>
      <c r="F24" s="5">
        <f t="shared" si="1"/>
        <v>0</v>
      </c>
      <c r="G24" s="5">
        <f t="shared" si="2"/>
        <v>1</v>
      </c>
      <c r="H24" s="5">
        <f t="shared" si="3"/>
        <v>1</v>
      </c>
      <c r="I24" t="str">
        <f t="shared" si="4"/>
        <v>Low</v>
      </c>
    </row>
    <row r="25" spans="1:13" x14ac:dyDescent="0.3">
      <c r="A25" s="5" t="s">
        <v>30</v>
      </c>
      <c r="B25" s="5">
        <v>47</v>
      </c>
      <c r="C25" s="5">
        <v>11</v>
      </c>
      <c r="D25" s="5">
        <v>3</v>
      </c>
      <c r="E25" s="5">
        <f t="shared" si="0"/>
        <v>1</v>
      </c>
      <c r="F25" s="5">
        <f t="shared" si="1"/>
        <v>1</v>
      </c>
      <c r="G25" s="5">
        <f t="shared" si="2"/>
        <v>1</v>
      </c>
      <c r="H25" s="5">
        <f t="shared" si="3"/>
        <v>3</v>
      </c>
      <c r="I25" t="str">
        <f t="shared" si="4"/>
        <v>Medium</v>
      </c>
    </row>
    <row r="26" spans="1:13" x14ac:dyDescent="0.3">
      <c r="A26" s="5" t="s">
        <v>31</v>
      </c>
      <c r="B26" s="5">
        <v>53</v>
      </c>
      <c r="C26" s="5">
        <v>9</v>
      </c>
      <c r="D26" s="5">
        <v>3</v>
      </c>
      <c r="E26" s="5">
        <f t="shared" si="0"/>
        <v>1</v>
      </c>
      <c r="F26" s="5">
        <f t="shared" si="1"/>
        <v>1</v>
      </c>
      <c r="G26" s="5">
        <f t="shared" si="2"/>
        <v>1</v>
      </c>
      <c r="H26" s="5">
        <f t="shared" si="3"/>
        <v>3</v>
      </c>
      <c r="I26" t="str">
        <f t="shared" si="4"/>
        <v>Medium</v>
      </c>
    </row>
    <row r="27" spans="1:13" x14ac:dyDescent="0.3">
      <c r="A27" s="5" t="s">
        <v>32</v>
      </c>
      <c r="B27" s="5">
        <v>53</v>
      </c>
      <c r="C27" s="5">
        <v>14</v>
      </c>
      <c r="D27" s="5">
        <v>2</v>
      </c>
      <c r="E27" s="5">
        <f t="shared" si="0"/>
        <v>1</v>
      </c>
      <c r="F27" s="5">
        <f t="shared" si="1"/>
        <v>1</v>
      </c>
      <c r="G27" s="5">
        <f t="shared" si="2"/>
        <v>1</v>
      </c>
      <c r="H27" s="5">
        <f t="shared" si="3"/>
        <v>3</v>
      </c>
      <c r="I27" t="str">
        <f t="shared" si="4"/>
        <v>Medium</v>
      </c>
    </row>
    <row r="28" spans="1:13" x14ac:dyDescent="0.3">
      <c r="A28" s="5" t="s">
        <v>33</v>
      </c>
      <c r="B28" s="5">
        <v>49</v>
      </c>
      <c r="C28" s="5">
        <v>9</v>
      </c>
      <c r="D28" s="5">
        <v>3</v>
      </c>
      <c r="E28" s="5">
        <f t="shared" si="0"/>
        <v>1</v>
      </c>
      <c r="F28" s="5">
        <f t="shared" si="1"/>
        <v>1</v>
      </c>
      <c r="G28" s="5">
        <f t="shared" si="2"/>
        <v>1</v>
      </c>
      <c r="H28" s="5">
        <f t="shared" si="3"/>
        <v>3</v>
      </c>
      <c r="I28" t="str">
        <f t="shared" si="4"/>
        <v>Medium</v>
      </c>
    </row>
    <row r="29" spans="1:13" x14ac:dyDescent="0.3">
      <c r="A29" s="5" t="s">
        <v>34</v>
      </c>
      <c r="B29" s="5">
        <v>58</v>
      </c>
      <c r="C29" s="5">
        <v>20</v>
      </c>
      <c r="D29" s="5">
        <v>2</v>
      </c>
      <c r="E29" s="5">
        <f t="shared" si="0"/>
        <v>2</v>
      </c>
      <c r="F29" s="5">
        <f t="shared" si="1"/>
        <v>2</v>
      </c>
      <c r="G29" s="5">
        <f t="shared" si="2"/>
        <v>1</v>
      </c>
      <c r="H29" s="5">
        <f t="shared" si="3"/>
        <v>5</v>
      </c>
      <c r="I29" t="str">
        <f t="shared" si="4"/>
        <v>High</v>
      </c>
    </row>
    <row r="30" spans="1:13" x14ac:dyDescent="0.3">
      <c r="A30" s="5" t="s">
        <v>35</v>
      </c>
      <c r="B30" s="5">
        <v>51</v>
      </c>
      <c r="C30" s="5">
        <v>12</v>
      </c>
      <c r="D30" s="5">
        <v>2</v>
      </c>
      <c r="E30" s="5">
        <f t="shared" si="0"/>
        <v>1</v>
      </c>
      <c r="F30" s="5">
        <f t="shared" si="1"/>
        <v>1</v>
      </c>
      <c r="G30" s="5">
        <f t="shared" si="2"/>
        <v>1</v>
      </c>
      <c r="H30" s="5">
        <f t="shared" si="3"/>
        <v>3</v>
      </c>
      <c r="I30" t="str">
        <f t="shared" si="4"/>
        <v>Medium</v>
      </c>
    </row>
    <row r="31" spans="1:13" x14ac:dyDescent="0.3">
      <c r="A31" s="5" t="s">
        <v>36</v>
      </c>
      <c r="B31" s="5">
        <v>60</v>
      </c>
      <c r="C31" s="5">
        <v>25</v>
      </c>
      <c r="D31" s="5">
        <v>1</v>
      </c>
      <c r="E31" s="5">
        <f t="shared" si="0"/>
        <v>2</v>
      </c>
      <c r="F31" s="5">
        <f t="shared" si="1"/>
        <v>2</v>
      </c>
      <c r="G31" s="5">
        <f t="shared" si="2"/>
        <v>1</v>
      </c>
      <c r="H31" s="5">
        <f t="shared" si="3"/>
        <v>5</v>
      </c>
      <c r="I31" t="str">
        <f t="shared" si="4"/>
        <v>High</v>
      </c>
    </row>
    <row r="32" spans="1:13" x14ac:dyDescent="0.3">
      <c r="A32" s="5" t="s">
        <v>37</v>
      </c>
      <c r="B32" s="5">
        <v>42</v>
      </c>
      <c r="C32" s="5">
        <v>0</v>
      </c>
      <c r="D32" s="5">
        <v>0</v>
      </c>
      <c r="E32" s="5">
        <f t="shared" si="0"/>
        <v>0</v>
      </c>
      <c r="F32" s="5">
        <f t="shared" si="1"/>
        <v>0</v>
      </c>
      <c r="G32" s="5">
        <f t="shared" si="2"/>
        <v>0</v>
      </c>
      <c r="H32" s="5">
        <f t="shared" si="3"/>
        <v>0</v>
      </c>
      <c r="I32" t="str">
        <f t="shared" si="4"/>
        <v>Low</v>
      </c>
    </row>
    <row r="33" spans="1:9" x14ac:dyDescent="0.3">
      <c r="A33" s="5" t="s">
        <v>38</v>
      </c>
      <c r="B33" s="5">
        <v>54</v>
      </c>
      <c r="C33" s="5">
        <v>7</v>
      </c>
      <c r="D33" s="5">
        <v>3</v>
      </c>
      <c r="E33" s="5">
        <f t="shared" si="0"/>
        <v>1</v>
      </c>
      <c r="F33" s="5">
        <f t="shared" si="1"/>
        <v>1</v>
      </c>
      <c r="G33" s="5">
        <f t="shared" si="2"/>
        <v>1</v>
      </c>
      <c r="H33" s="5">
        <f t="shared" si="3"/>
        <v>3</v>
      </c>
      <c r="I33" t="str">
        <f t="shared" si="4"/>
        <v>Medium</v>
      </c>
    </row>
    <row r="34" spans="1:9" x14ac:dyDescent="0.3">
      <c r="A34" s="6" t="s">
        <v>39</v>
      </c>
      <c r="B34" s="6">
        <v>42</v>
      </c>
      <c r="C34" s="6">
        <v>0</v>
      </c>
      <c r="D34" s="6">
        <v>0</v>
      </c>
      <c r="E34" s="6">
        <f t="shared" si="0"/>
        <v>0</v>
      </c>
      <c r="F34" s="6">
        <f t="shared" si="1"/>
        <v>0</v>
      </c>
      <c r="G34" s="6">
        <f t="shared" si="2"/>
        <v>0</v>
      </c>
      <c r="H34" s="6">
        <f t="shared" si="3"/>
        <v>0</v>
      </c>
      <c r="I34" t="str">
        <f t="shared" si="4"/>
        <v>Low</v>
      </c>
    </row>
    <row r="35" spans="1:9" x14ac:dyDescent="0.3">
      <c r="A35" s="6" t="s">
        <v>40</v>
      </c>
      <c r="B35" s="6">
        <v>64</v>
      </c>
      <c r="C35" s="6">
        <v>20</v>
      </c>
      <c r="D35" s="6">
        <v>3</v>
      </c>
      <c r="E35" s="6">
        <f t="shared" si="0"/>
        <v>2</v>
      </c>
      <c r="F35" s="6">
        <f t="shared" si="1"/>
        <v>2</v>
      </c>
      <c r="G35" s="6">
        <f t="shared" si="2"/>
        <v>1</v>
      </c>
      <c r="H35" s="6">
        <f t="shared" si="3"/>
        <v>5</v>
      </c>
      <c r="I35" t="str">
        <f t="shared" si="4"/>
        <v>High</v>
      </c>
    </row>
    <row r="36" spans="1:9" x14ac:dyDescent="0.3">
      <c r="A36" s="6" t="s">
        <v>41</v>
      </c>
      <c r="B36" s="6">
        <v>44</v>
      </c>
      <c r="C36" s="6">
        <v>2</v>
      </c>
      <c r="D36" s="6">
        <v>0</v>
      </c>
      <c r="E36" s="6">
        <f t="shared" si="0"/>
        <v>0</v>
      </c>
      <c r="F36" s="6">
        <f t="shared" si="1"/>
        <v>0</v>
      </c>
      <c r="G36" s="6">
        <f t="shared" si="2"/>
        <v>0</v>
      </c>
      <c r="H36" s="6">
        <f t="shared" si="3"/>
        <v>0</v>
      </c>
      <c r="I36" t="str">
        <f t="shared" si="4"/>
        <v>Low</v>
      </c>
    </row>
    <row r="37" spans="1:9" x14ac:dyDescent="0.3">
      <c r="A37" s="6" t="s">
        <v>42</v>
      </c>
      <c r="B37" s="6">
        <v>59</v>
      </c>
      <c r="C37" s="6">
        <v>19</v>
      </c>
      <c r="D37" s="6">
        <v>1</v>
      </c>
      <c r="E37" s="6">
        <f t="shared" si="0"/>
        <v>2</v>
      </c>
      <c r="F37" s="6">
        <f t="shared" si="1"/>
        <v>2</v>
      </c>
      <c r="G37" s="6">
        <f t="shared" si="2"/>
        <v>1</v>
      </c>
      <c r="H37" s="6">
        <f t="shared" si="3"/>
        <v>5</v>
      </c>
      <c r="I37" t="str">
        <f t="shared" si="4"/>
        <v>High</v>
      </c>
    </row>
    <row r="38" spans="1:9" x14ac:dyDescent="0.3">
      <c r="A38" s="6" t="s">
        <v>43</v>
      </c>
      <c r="B38" s="6">
        <v>48</v>
      </c>
      <c r="C38" s="6">
        <v>9</v>
      </c>
      <c r="D38" s="6">
        <v>3</v>
      </c>
      <c r="E38" s="6">
        <f t="shared" si="0"/>
        <v>1</v>
      </c>
      <c r="F38" s="6">
        <f t="shared" si="1"/>
        <v>1</v>
      </c>
      <c r="G38" s="6">
        <f t="shared" si="2"/>
        <v>1</v>
      </c>
      <c r="H38" s="6">
        <f t="shared" si="3"/>
        <v>3</v>
      </c>
      <c r="I38" t="str">
        <f t="shared" si="4"/>
        <v>Medium</v>
      </c>
    </row>
    <row r="39" spans="1:9" x14ac:dyDescent="0.3">
      <c r="A39" s="6" t="s">
        <v>44</v>
      </c>
      <c r="B39" s="6">
        <v>42</v>
      </c>
      <c r="C39" s="6">
        <v>0</v>
      </c>
      <c r="D39" s="6">
        <v>0</v>
      </c>
      <c r="E39" s="6">
        <f t="shared" si="0"/>
        <v>0</v>
      </c>
      <c r="F39" s="6">
        <f t="shared" si="1"/>
        <v>0</v>
      </c>
      <c r="G39" s="6">
        <f t="shared" si="2"/>
        <v>0</v>
      </c>
      <c r="H39" s="6">
        <f t="shared" si="3"/>
        <v>0</v>
      </c>
      <c r="I39" t="str">
        <f t="shared" si="4"/>
        <v>Low</v>
      </c>
    </row>
    <row r="40" spans="1:9" x14ac:dyDescent="0.3">
      <c r="A40" s="6" t="s">
        <v>45</v>
      </c>
      <c r="B40" s="6">
        <v>48</v>
      </c>
      <c r="C40" s="6">
        <v>7</v>
      </c>
      <c r="D40" s="6">
        <v>3</v>
      </c>
      <c r="E40" s="6">
        <f t="shared" si="0"/>
        <v>1</v>
      </c>
      <c r="F40" s="6">
        <f t="shared" si="1"/>
        <v>1</v>
      </c>
      <c r="G40" s="6">
        <f t="shared" si="2"/>
        <v>1</v>
      </c>
      <c r="H40" s="6">
        <f t="shared" si="3"/>
        <v>3</v>
      </c>
      <c r="I40" t="str">
        <f t="shared" si="4"/>
        <v>Medium</v>
      </c>
    </row>
    <row r="41" spans="1:9" x14ac:dyDescent="0.3">
      <c r="A41" s="6" t="s">
        <v>46</v>
      </c>
      <c r="B41" s="6">
        <v>53</v>
      </c>
      <c r="C41" s="6">
        <v>15</v>
      </c>
      <c r="D41" s="6">
        <v>2</v>
      </c>
      <c r="E41" s="6">
        <f t="shared" si="0"/>
        <v>1</v>
      </c>
      <c r="F41" s="6">
        <f t="shared" si="1"/>
        <v>1</v>
      </c>
      <c r="G41" s="6">
        <f t="shared" si="2"/>
        <v>1</v>
      </c>
      <c r="H41" s="6">
        <f t="shared" si="3"/>
        <v>3</v>
      </c>
      <c r="I41" t="str">
        <f t="shared" si="4"/>
        <v>Medium</v>
      </c>
    </row>
    <row r="42" spans="1:9" x14ac:dyDescent="0.3">
      <c r="A42" s="6" t="s">
        <v>47</v>
      </c>
      <c r="B42" s="6">
        <v>41</v>
      </c>
      <c r="C42" s="6">
        <v>5</v>
      </c>
      <c r="D42" s="6">
        <v>1</v>
      </c>
      <c r="E42" s="6">
        <f t="shared" si="0"/>
        <v>0</v>
      </c>
      <c r="F42" s="6">
        <f t="shared" si="1"/>
        <v>0</v>
      </c>
      <c r="G42" s="6">
        <f t="shared" si="2"/>
        <v>1</v>
      </c>
      <c r="H42" s="6">
        <f t="shared" si="3"/>
        <v>1</v>
      </c>
      <c r="I42" t="str">
        <f t="shared" si="4"/>
        <v>Low</v>
      </c>
    </row>
    <row r="43" spans="1:9" x14ac:dyDescent="0.3">
      <c r="A43" s="6" t="s">
        <v>48</v>
      </c>
      <c r="B43" s="6">
        <v>46</v>
      </c>
      <c r="C43" s="6">
        <v>9</v>
      </c>
      <c r="D43" s="6">
        <v>1</v>
      </c>
      <c r="E43" s="6">
        <f t="shared" si="0"/>
        <v>1</v>
      </c>
      <c r="F43" s="6">
        <f t="shared" si="1"/>
        <v>1</v>
      </c>
      <c r="G43" s="6">
        <f t="shared" si="2"/>
        <v>1</v>
      </c>
      <c r="H43" s="6">
        <f t="shared" si="3"/>
        <v>3</v>
      </c>
      <c r="I43" t="str">
        <f t="shared" si="4"/>
        <v>Medium</v>
      </c>
    </row>
    <row r="44" spans="1:9" x14ac:dyDescent="0.3">
      <c r="A44" s="5" t="s">
        <v>49</v>
      </c>
      <c r="B44" s="5">
        <v>56</v>
      </c>
      <c r="C44" s="5">
        <v>23</v>
      </c>
      <c r="D44" s="5">
        <v>3</v>
      </c>
      <c r="E44" s="5">
        <f t="shared" si="0"/>
        <v>2</v>
      </c>
      <c r="F44" s="5">
        <f t="shared" si="1"/>
        <v>2</v>
      </c>
      <c r="G44" s="5">
        <f t="shared" si="2"/>
        <v>1</v>
      </c>
      <c r="H44" s="5">
        <f t="shared" si="3"/>
        <v>5</v>
      </c>
      <c r="I44" t="str">
        <f t="shared" si="4"/>
        <v>High</v>
      </c>
    </row>
    <row r="45" spans="1:9" x14ac:dyDescent="0.3">
      <c r="A45" s="5" t="s">
        <v>50</v>
      </c>
      <c r="B45" s="5">
        <v>56</v>
      </c>
      <c r="C45" s="5">
        <v>25</v>
      </c>
      <c r="D45" s="5">
        <v>2</v>
      </c>
      <c r="E45" s="5">
        <f t="shared" si="0"/>
        <v>2</v>
      </c>
      <c r="F45" s="5">
        <f t="shared" si="1"/>
        <v>2</v>
      </c>
      <c r="G45" s="5">
        <f t="shared" si="2"/>
        <v>1</v>
      </c>
      <c r="H45" s="5">
        <f t="shared" si="3"/>
        <v>5</v>
      </c>
      <c r="I45" t="str">
        <f t="shared" si="4"/>
        <v>High</v>
      </c>
    </row>
    <row r="46" spans="1:9" x14ac:dyDescent="0.3">
      <c r="A46" s="5" t="s">
        <v>51</v>
      </c>
      <c r="B46" s="5">
        <v>39</v>
      </c>
      <c r="C46" s="5">
        <v>2</v>
      </c>
      <c r="D46" s="5">
        <v>1</v>
      </c>
      <c r="E46" s="5">
        <f t="shared" si="0"/>
        <v>0</v>
      </c>
      <c r="F46" s="5">
        <f t="shared" si="1"/>
        <v>0</v>
      </c>
      <c r="G46" s="5">
        <f t="shared" si="2"/>
        <v>1</v>
      </c>
      <c r="H46" s="5">
        <f t="shared" si="3"/>
        <v>1</v>
      </c>
      <c r="I46" t="str">
        <f t="shared" si="4"/>
        <v>Low</v>
      </c>
    </row>
    <row r="47" spans="1:9" x14ac:dyDescent="0.3">
      <c r="A47" s="5" t="s">
        <v>52</v>
      </c>
      <c r="B47" s="5">
        <v>39</v>
      </c>
      <c r="C47" s="5">
        <v>0</v>
      </c>
      <c r="D47" s="5">
        <v>1</v>
      </c>
      <c r="E47" s="5">
        <f t="shared" si="0"/>
        <v>0</v>
      </c>
      <c r="F47" s="5">
        <f t="shared" si="1"/>
        <v>0</v>
      </c>
      <c r="G47" s="5">
        <f t="shared" si="2"/>
        <v>1</v>
      </c>
      <c r="H47" s="5">
        <f t="shared" si="3"/>
        <v>1</v>
      </c>
      <c r="I47" t="str">
        <f t="shared" si="4"/>
        <v>Low</v>
      </c>
    </row>
    <row r="48" spans="1:9" x14ac:dyDescent="0.3">
      <c r="A48" s="5" t="s">
        <v>53</v>
      </c>
      <c r="B48" s="5">
        <v>47</v>
      </c>
      <c r="C48" s="5">
        <v>10</v>
      </c>
      <c r="D48" s="5">
        <v>1</v>
      </c>
      <c r="E48" s="5">
        <f t="shared" si="0"/>
        <v>1</v>
      </c>
      <c r="F48" s="5">
        <f t="shared" si="1"/>
        <v>1</v>
      </c>
      <c r="G48" s="5">
        <f t="shared" si="2"/>
        <v>1</v>
      </c>
      <c r="H48" s="5">
        <f t="shared" si="3"/>
        <v>3</v>
      </c>
      <c r="I48" t="str">
        <f t="shared" si="4"/>
        <v>Medium</v>
      </c>
    </row>
    <row r="49" spans="1:9" x14ac:dyDescent="0.3">
      <c r="A49" s="5" t="s">
        <v>54</v>
      </c>
      <c r="B49" s="5">
        <v>64</v>
      </c>
      <c r="C49" s="5">
        <v>19</v>
      </c>
      <c r="D49" s="5">
        <v>3</v>
      </c>
      <c r="E49" s="5">
        <f t="shared" si="0"/>
        <v>2</v>
      </c>
      <c r="F49" s="5">
        <f t="shared" si="1"/>
        <v>2</v>
      </c>
      <c r="G49" s="5">
        <f t="shared" si="2"/>
        <v>1</v>
      </c>
      <c r="H49" s="5">
        <f t="shared" si="3"/>
        <v>5</v>
      </c>
      <c r="I49" t="str">
        <f t="shared" si="4"/>
        <v>High</v>
      </c>
    </row>
    <row r="50" spans="1:9" x14ac:dyDescent="0.3">
      <c r="A50" s="5" t="s">
        <v>55</v>
      </c>
      <c r="B50" s="5">
        <v>50</v>
      </c>
      <c r="C50" s="5">
        <v>14</v>
      </c>
      <c r="D50" s="5">
        <v>1</v>
      </c>
      <c r="E50" s="5">
        <f t="shared" si="0"/>
        <v>1</v>
      </c>
      <c r="F50" s="5">
        <f t="shared" si="1"/>
        <v>1</v>
      </c>
      <c r="G50" s="5">
        <f t="shared" si="2"/>
        <v>1</v>
      </c>
      <c r="H50" s="5">
        <f t="shared" si="3"/>
        <v>3</v>
      </c>
      <c r="I50" t="str">
        <f t="shared" si="4"/>
        <v>Medium</v>
      </c>
    </row>
    <row r="51" spans="1:9" x14ac:dyDescent="0.3">
      <c r="A51" s="5" t="s">
        <v>56</v>
      </c>
      <c r="B51" s="5">
        <v>38</v>
      </c>
      <c r="C51" s="5">
        <v>2</v>
      </c>
      <c r="D51" s="5">
        <v>1</v>
      </c>
      <c r="E51" s="5">
        <f t="shared" si="0"/>
        <v>0</v>
      </c>
      <c r="F51" s="5">
        <f t="shared" si="1"/>
        <v>0</v>
      </c>
      <c r="G51" s="5">
        <f t="shared" si="2"/>
        <v>1</v>
      </c>
      <c r="H51" s="5">
        <f t="shared" si="3"/>
        <v>1</v>
      </c>
      <c r="I51" t="str">
        <f t="shared" si="4"/>
        <v>Low</v>
      </c>
    </row>
    <row r="52" spans="1:9" x14ac:dyDescent="0.3">
      <c r="A52" s="5" t="s">
        <v>57</v>
      </c>
      <c r="B52" s="5">
        <v>55</v>
      </c>
      <c r="C52" s="5">
        <v>10</v>
      </c>
      <c r="D52" s="5">
        <v>3</v>
      </c>
      <c r="E52" s="5">
        <f t="shared" si="0"/>
        <v>1</v>
      </c>
      <c r="F52" s="5">
        <f t="shared" si="1"/>
        <v>1</v>
      </c>
      <c r="G52" s="5">
        <f t="shared" si="2"/>
        <v>1</v>
      </c>
      <c r="H52" s="5">
        <f t="shared" si="3"/>
        <v>3</v>
      </c>
      <c r="I52" t="str">
        <f t="shared" si="4"/>
        <v>Medium</v>
      </c>
    </row>
    <row r="53" spans="1:9" x14ac:dyDescent="0.3">
      <c r="A53" s="5" t="s">
        <v>58</v>
      </c>
      <c r="B53" s="5">
        <v>57</v>
      </c>
      <c r="C53" s="5">
        <v>23</v>
      </c>
      <c r="D53" s="5">
        <v>3</v>
      </c>
      <c r="E53" s="5">
        <f t="shared" si="0"/>
        <v>2</v>
      </c>
      <c r="F53" s="5">
        <f t="shared" si="1"/>
        <v>2</v>
      </c>
      <c r="G53" s="5">
        <f t="shared" si="2"/>
        <v>1</v>
      </c>
      <c r="H53" s="5">
        <f t="shared" si="3"/>
        <v>5</v>
      </c>
      <c r="I53" t="str">
        <f t="shared" si="4"/>
        <v>High</v>
      </c>
    </row>
    <row r="54" spans="1:9" x14ac:dyDescent="0.3">
      <c r="A54" s="6" t="s">
        <v>59</v>
      </c>
      <c r="B54" s="6">
        <v>44</v>
      </c>
      <c r="C54" s="6">
        <v>1</v>
      </c>
      <c r="D54" s="6">
        <v>1</v>
      </c>
      <c r="E54" s="6">
        <f t="shared" si="0"/>
        <v>0</v>
      </c>
      <c r="F54" s="6">
        <f t="shared" si="1"/>
        <v>0</v>
      </c>
      <c r="G54" s="6">
        <f t="shared" si="2"/>
        <v>1</v>
      </c>
      <c r="H54" s="6">
        <f t="shared" si="3"/>
        <v>1</v>
      </c>
      <c r="I54" t="str">
        <f t="shared" si="4"/>
        <v>Low</v>
      </c>
    </row>
    <row r="55" spans="1:9" x14ac:dyDescent="0.3">
      <c r="A55" s="6" t="s">
        <v>60</v>
      </c>
      <c r="B55" s="6">
        <v>57</v>
      </c>
      <c r="C55" s="6">
        <v>22</v>
      </c>
      <c r="D55" s="6">
        <v>2</v>
      </c>
      <c r="E55" s="6">
        <f t="shared" si="0"/>
        <v>2</v>
      </c>
      <c r="F55" s="6">
        <f t="shared" si="1"/>
        <v>2</v>
      </c>
      <c r="G55" s="6">
        <f t="shared" si="2"/>
        <v>1</v>
      </c>
      <c r="H55" s="6">
        <f t="shared" si="3"/>
        <v>5</v>
      </c>
      <c r="I55" t="str">
        <f t="shared" si="4"/>
        <v>High</v>
      </c>
    </row>
    <row r="56" spans="1:9" x14ac:dyDescent="0.3">
      <c r="A56" s="6" t="s">
        <v>61</v>
      </c>
      <c r="B56" s="6">
        <v>41</v>
      </c>
      <c r="C56" s="6">
        <v>5</v>
      </c>
      <c r="D56" s="6">
        <v>0</v>
      </c>
      <c r="E56" s="6">
        <f t="shared" si="0"/>
        <v>0</v>
      </c>
      <c r="F56" s="6">
        <f t="shared" si="1"/>
        <v>0</v>
      </c>
      <c r="G56" s="6">
        <f t="shared" si="2"/>
        <v>0</v>
      </c>
      <c r="H56" s="6">
        <f t="shared" si="3"/>
        <v>0</v>
      </c>
      <c r="I56" t="str">
        <f t="shared" si="4"/>
        <v>Low</v>
      </c>
    </row>
    <row r="57" spans="1:9" x14ac:dyDescent="0.3">
      <c r="A57" s="6" t="s">
        <v>62</v>
      </c>
      <c r="B57" s="6">
        <v>46</v>
      </c>
      <c r="C57" s="6">
        <v>9</v>
      </c>
      <c r="D57" s="6">
        <v>1</v>
      </c>
      <c r="E57" s="6">
        <f t="shared" si="0"/>
        <v>1</v>
      </c>
      <c r="F57" s="6">
        <f t="shared" si="1"/>
        <v>1</v>
      </c>
      <c r="G57" s="6">
        <f t="shared" si="2"/>
        <v>1</v>
      </c>
      <c r="H57" s="6">
        <f t="shared" si="3"/>
        <v>3</v>
      </c>
      <c r="I57" t="str">
        <f t="shared" si="4"/>
        <v>Medium</v>
      </c>
    </row>
    <row r="58" spans="1:9" x14ac:dyDescent="0.3">
      <c r="A58" s="6" t="s">
        <v>63</v>
      </c>
      <c r="B58" s="6">
        <v>39</v>
      </c>
      <c r="C58" s="6">
        <v>3</v>
      </c>
      <c r="D58" s="6">
        <v>0</v>
      </c>
      <c r="E58" s="6">
        <f t="shared" si="0"/>
        <v>0</v>
      </c>
      <c r="F58" s="6">
        <f t="shared" si="1"/>
        <v>0</v>
      </c>
      <c r="G58" s="6">
        <f t="shared" si="2"/>
        <v>0</v>
      </c>
      <c r="H58" s="6">
        <f t="shared" si="3"/>
        <v>0</v>
      </c>
      <c r="I58" t="str">
        <f t="shared" si="4"/>
        <v>Low</v>
      </c>
    </row>
    <row r="59" spans="1:9" x14ac:dyDescent="0.3">
      <c r="A59" s="6" t="s">
        <v>64</v>
      </c>
      <c r="B59" s="6">
        <v>39</v>
      </c>
      <c r="C59" s="6">
        <v>4</v>
      </c>
      <c r="D59" s="6">
        <v>0</v>
      </c>
      <c r="E59" s="6">
        <f t="shared" si="0"/>
        <v>0</v>
      </c>
      <c r="F59" s="6">
        <f t="shared" si="1"/>
        <v>0</v>
      </c>
      <c r="G59" s="6">
        <f t="shared" si="2"/>
        <v>0</v>
      </c>
      <c r="H59" s="6">
        <f t="shared" si="3"/>
        <v>0</v>
      </c>
      <c r="I59" t="str">
        <f t="shared" si="4"/>
        <v>Low</v>
      </c>
    </row>
    <row r="60" spans="1:9" x14ac:dyDescent="0.3">
      <c r="A60" s="6" t="s">
        <v>65</v>
      </c>
      <c r="B60" s="6">
        <v>39</v>
      </c>
      <c r="C60" s="6">
        <v>5</v>
      </c>
      <c r="D60" s="6">
        <v>0</v>
      </c>
      <c r="E60" s="6">
        <f t="shared" si="0"/>
        <v>0</v>
      </c>
      <c r="F60" s="6">
        <f t="shared" si="1"/>
        <v>0</v>
      </c>
      <c r="G60" s="6">
        <f t="shared" si="2"/>
        <v>0</v>
      </c>
      <c r="H60" s="6">
        <f t="shared" si="3"/>
        <v>0</v>
      </c>
      <c r="I60" t="str">
        <f t="shared" si="4"/>
        <v>Low</v>
      </c>
    </row>
    <row r="61" spans="1:9" x14ac:dyDescent="0.3">
      <c r="A61" s="6" t="s">
        <v>66</v>
      </c>
      <c r="B61" s="6">
        <v>58</v>
      </c>
      <c r="C61" s="6">
        <v>19</v>
      </c>
      <c r="D61" s="6">
        <v>2</v>
      </c>
      <c r="E61" s="6">
        <f t="shared" si="0"/>
        <v>2</v>
      </c>
      <c r="F61" s="6">
        <f t="shared" si="1"/>
        <v>2</v>
      </c>
      <c r="G61" s="6">
        <f t="shared" si="2"/>
        <v>1</v>
      </c>
      <c r="H61" s="6">
        <f t="shared" si="3"/>
        <v>5</v>
      </c>
      <c r="I61" t="str">
        <f t="shared" si="4"/>
        <v>High</v>
      </c>
    </row>
    <row r="62" spans="1:9" x14ac:dyDescent="0.3">
      <c r="A62" s="6" t="s">
        <v>67</v>
      </c>
      <c r="B62" s="6">
        <v>46</v>
      </c>
      <c r="C62" s="6">
        <v>15</v>
      </c>
      <c r="D62" s="6">
        <v>1</v>
      </c>
      <c r="E62" s="6">
        <f t="shared" si="0"/>
        <v>1</v>
      </c>
      <c r="F62" s="6">
        <f t="shared" si="1"/>
        <v>1</v>
      </c>
      <c r="G62" s="6">
        <f t="shared" si="2"/>
        <v>1</v>
      </c>
      <c r="H62" s="6">
        <f t="shared" si="3"/>
        <v>3</v>
      </c>
      <c r="I62" t="str">
        <f t="shared" si="4"/>
        <v>Medium</v>
      </c>
    </row>
    <row r="63" spans="1:9" x14ac:dyDescent="0.3">
      <c r="A63" s="6" t="s">
        <v>68</v>
      </c>
      <c r="B63" s="6">
        <v>62</v>
      </c>
      <c r="C63" s="6">
        <v>18</v>
      </c>
      <c r="D63" s="6">
        <v>2</v>
      </c>
      <c r="E63" s="6">
        <f t="shared" si="0"/>
        <v>2</v>
      </c>
      <c r="F63" s="6">
        <f t="shared" si="1"/>
        <v>2</v>
      </c>
      <c r="G63" s="6">
        <f t="shared" si="2"/>
        <v>1</v>
      </c>
      <c r="H63" s="6">
        <f t="shared" si="3"/>
        <v>5</v>
      </c>
      <c r="I63" t="str">
        <f t="shared" si="4"/>
        <v>High</v>
      </c>
    </row>
    <row r="64" spans="1:9" x14ac:dyDescent="0.3">
      <c r="A64" s="5" t="s">
        <v>69</v>
      </c>
      <c r="B64" s="5">
        <v>57</v>
      </c>
      <c r="C64" s="5">
        <v>16</v>
      </c>
      <c r="D64" s="5">
        <v>2</v>
      </c>
      <c r="E64" s="5">
        <f t="shared" si="0"/>
        <v>2</v>
      </c>
      <c r="F64" s="5">
        <f t="shared" si="1"/>
        <v>2</v>
      </c>
      <c r="G64" s="5">
        <f t="shared" si="2"/>
        <v>1</v>
      </c>
      <c r="H64" s="5">
        <f t="shared" si="3"/>
        <v>5</v>
      </c>
      <c r="I64" t="str">
        <f t="shared" si="4"/>
        <v>High</v>
      </c>
    </row>
    <row r="65" spans="1:9" x14ac:dyDescent="0.3">
      <c r="A65" s="5" t="s">
        <v>70</v>
      </c>
      <c r="B65" s="5">
        <v>41</v>
      </c>
      <c r="C65" s="5">
        <v>1</v>
      </c>
      <c r="D65" s="5">
        <v>1</v>
      </c>
      <c r="E65" s="5">
        <f t="shared" si="0"/>
        <v>0</v>
      </c>
      <c r="F65" s="5">
        <f t="shared" si="1"/>
        <v>0</v>
      </c>
      <c r="G65" s="5">
        <f t="shared" si="2"/>
        <v>1</v>
      </c>
      <c r="H65" s="5">
        <f t="shared" si="3"/>
        <v>1</v>
      </c>
      <c r="I65" t="str">
        <f t="shared" si="4"/>
        <v>Low</v>
      </c>
    </row>
    <row r="66" spans="1:9" x14ac:dyDescent="0.3">
      <c r="A66" s="5" t="s">
        <v>71</v>
      </c>
      <c r="B66" s="5">
        <v>58</v>
      </c>
      <c r="C66" s="5">
        <v>23</v>
      </c>
      <c r="D66" s="5">
        <v>3</v>
      </c>
      <c r="E66" s="5">
        <f t="shared" si="0"/>
        <v>2</v>
      </c>
      <c r="F66" s="5">
        <f t="shared" si="1"/>
        <v>2</v>
      </c>
      <c r="G66" s="5">
        <f t="shared" si="2"/>
        <v>1</v>
      </c>
      <c r="H66" s="5">
        <f t="shared" si="3"/>
        <v>5</v>
      </c>
      <c r="I66" t="str">
        <f t="shared" si="4"/>
        <v>High</v>
      </c>
    </row>
    <row r="67" spans="1:9" x14ac:dyDescent="0.3">
      <c r="A67" s="5" t="s">
        <v>72</v>
      </c>
      <c r="B67" s="5">
        <v>38</v>
      </c>
      <c r="C67" s="5">
        <v>4</v>
      </c>
      <c r="D67" s="5">
        <v>0</v>
      </c>
      <c r="E67" s="5">
        <f t="shared" si="0"/>
        <v>0</v>
      </c>
      <c r="F67" s="5">
        <f t="shared" si="1"/>
        <v>0</v>
      </c>
      <c r="G67" s="5">
        <f t="shared" si="2"/>
        <v>0</v>
      </c>
      <c r="H67" s="5">
        <f t="shared" si="3"/>
        <v>0</v>
      </c>
      <c r="I67" t="str">
        <f t="shared" si="4"/>
        <v>Low</v>
      </c>
    </row>
    <row r="68" spans="1:9" x14ac:dyDescent="0.3">
      <c r="A68" s="5" t="s">
        <v>73</v>
      </c>
      <c r="B68" s="5">
        <v>60</v>
      </c>
      <c r="C68" s="5">
        <v>24</v>
      </c>
      <c r="D68" s="5">
        <v>2</v>
      </c>
      <c r="E68" s="5">
        <f t="shared" si="0"/>
        <v>2</v>
      </c>
      <c r="F68" s="5">
        <f t="shared" si="1"/>
        <v>2</v>
      </c>
      <c r="G68" s="5">
        <f t="shared" si="2"/>
        <v>1</v>
      </c>
      <c r="H68" s="5">
        <f t="shared" si="3"/>
        <v>5</v>
      </c>
      <c r="I68" t="str">
        <f t="shared" si="4"/>
        <v>High</v>
      </c>
    </row>
    <row r="69" spans="1:9" x14ac:dyDescent="0.3">
      <c r="A69" s="5" t="s">
        <v>74</v>
      </c>
      <c r="B69" s="5">
        <v>47</v>
      </c>
      <c r="C69" s="5">
        <v>7</v>
      </c>
      <c r="D69" s="5">
        <v>1</v>
      </c>
      <c r="E69" s="5">
        <f t="shared" ref="E69:E85" si="5">IF(B69&lt;=45,0,IF(B69&lt;=55,1,2))</f>
        <v>1</v>
      </c>
      <c r="F69" s="5">
        <f t="shared" ref="F69:F85" si="6">IF(C69&lt;=5,0,IF(C69&lt;=15,1,2))</f>
        <v>1</v>
      </c>
      <c r="G69" s="5">
        <f t="shared" ref="G69:G85" si="7">IF(D69&gt;3,2,IF(D69&gt;=1,1,0))</f>
        <v>1</v>
      </c>
      <c r="H69" s="5">
        <f t="shared" ref="H69:H85" si="8">SUM(E69:G69)</f>
        <v>3</v>
      </c>
      <c r="I69" t="str">
        <f t="shared" ref="I69:I85" si="9">IF(H69&lt;=2,"Low",IF(H69&lt;=4,"Medium","High"))</f>
        <v>Medium</v>
      </c>
    </row>
    <row r="70" spans="1:9" x14ac:dyDescent="0.3">
      <c r="A70" s="5" t="s">
        <v>75</v>
      </c>
      <c r="B70" s="5">
        <v>39</v>
      </c>
      <c r="C70" s="5">
        <v>3</v>
      </c>
      <c r="D70" s="5">
        <v>1</v>
      </c>
      <c r="E70" s="5">
        <f t="shared" si="5"/>
        <v>0</v>
      </c>
      <c r="F70" s="5">
        <f t="shared" si="6"/>
        <v>0</v>
      </c>
      <c r="G70" s="5">
        <f t="shared" si="7"/>
        <v>1</v>
      </c>
      <c r="H70" s="5">
        <f t="shared" si="8"/>
        <v>1</v>
      </c>
      <c r="I70" t="str">
        <f t="shared" si="9"/>
        <v>Low</v>
      </c>
    </row>
    <row r="71" spans="1:9" x14ac:dyDescent="0.3">
      <c r="A71" s="5" t="s">
        <v>76</v>
      </c>
      <c r="B71" s="5">
        <v>51</v>
      </c>
      <c r="C71" s="5">
        <v>12</v>
      </c>
      <c r="D71" s="5">
        <v>3</v>
      </c>
      <c r="E71" s="5">
        <f t="shared" si="5"/>
        <v>1</v>
      </c>
      <c r="F71" s="5">
        <f t="shared" si="6"/>
        <v>1</v>
      </c>
      <c r="G71" s="5">
        <f t="shared" si="7"/>
        <v>1</v>
      </c>
      <c r="H71" s="5">
        <f t="shared" si="8"/>
        <v>3</v>
      </c>
      <c r="I71" t="str">
        <f t="shared" si="9"/>
        <v>Medium</v>
      </c>
    </row>
    <row r="72" spans="1:9" x14ac:dyDescent="0.3">
      <c r="A72" s="5" t="s">
        <v>77</v>
      </c>
      <c r="B72" s="5">
        <v>39</v>
      </c>
      <c r="C72" s="5">
        <v>1</v>
      </c>
      <c r="D72" s="5">
        <v>0</v>
      </c>
      <c r="E72" s="5">
        <f t="shared" si="5"/>
        <v>0</v>
      </c>
      <c r="F72" s="5">
        <f t="shared" si="6"/>
        <v>0</v>
      </c>
      <c r="G72" s="5">
        <f t="shared" si="7"/>
        <v>0</v>
      </c>
      <c r="H72" s="5">
        <f t="shared" si="8"/>
        <v>0</v>
      </c>
      <c r="I72" t="str">
        <f t="shared" si="9"/>
        <v>Low</v>
      </c>
    </row>
    <row r="73" spans="1:9" x14ac:dyDescent="0.3">
      <c r="A73" s="5" t="s">
        <v>78</v>
      </c>
      <c r="B73" s="5">
        <v>59</v>
      </c>
      <c r="C73" s="5">
        <v>22</v>
      </c>
      <c r="D73" s="5">
        <v>1</v>
      </c>
      <c r="E73" s="5">
        <f t="shared" si="5"/>
        <v>2</v>
      </c>
      <c r="F73" s="5">
        <f t="shared" si="6"/>
        <v>2</v>
      </c>
      <c r="G73" s="5">
        <f t="shared" si="7"/>
        <v>1</v>
      </c>
      <c r="H73" s="5">
        <f t="shared" si="8"/>
        <v>5</v>
      </c>
      <c r="I73" t="str">
        <f t="shared" si="9"/>
        <v>High</v>
      </c>
    </row>
    <row r="74" spans="1:9" x14ac:dyDescent="0.3">
      <c r="A74" s="6" t="s">
        <v>79</v>
      </c>
      <c r="B74" s="6">
        <v>45</v>
      </c>
      <c r="C74" s="6">
        <v>5</v>
      </c>
      <c r="D74" s="6">
        <v>1</v>
      </c>
      <c r="E74" s="6">
        <f t="shared" si="5"/>
        <v>0</v>
      </c>
      <c r="F74" s="6">
        <f t="shared" si="6"/>
        <v>0</v>
      </c>
      <c r="G74" s="6">
        <f t="shared" si="7"/>
        <v>1</v>
      </c>
      <c r="H74" s="6">
        <f t="shared" si="8"/>
        <v>1</v>
      </c>
      <c r="I74" t="str">
        <f t="shared" si="9"/>
        <v>Low</v>
      </c>
    </row>
    <row r="75" spans="1:9" x14ac:dyDescent="0.3">
      <c r="A75" s="6" t="s">
        <v>80</v>
      </c>
      <c r="B75" s="6">
        <v>40</v>
      </c>
      <c r="C75" s="6">
        <v>1</v>
      </c>
      <c r="D75" s="6">
        <v>1</v>
      </c>
      <c r="E75" s="6">
        <f t="shared" si="5"/>
        <v>0</v>
      </c>
      <c r="F75" s="6">
        <f t="shared" si="6"/>
        <v>0</v>
      </c>
      <c r="G75" s="6">
        <f t="shared" si="7"/>
        <v>1</v>
      </c>
      <c r="H75" s="6">
        <f t="shared" si="8"/>
        <v>1</v>
      </c>
      <c r="I75" t="str">
        <f t="shared" si="9"/>
        <v>Low</v>
      </c>
    </row>
    <row r="76" spans="1:9" x14ac:dyDescent="0.3">
      <c r="A76" s="6" t="s">
        <v>81</v>
      </c>
      <c r="B76" s="6">
        <v>42</v>
      </c>
      <c r="C76" s="6">
        <v>5</v>
      </c>
      <c r="D76" s="6">
        <v>1</v>
      </c>
      <c r="E76" s="6">
        <f t="shared" si="5"/>
        <v>0</v>
      </c>
      <c r="F76" s="6">
        <f t="shared" si="6"/>
        <v>0</v>
      </c>
      <c r="G76" s="6">
        <f t="shared" si="7"/>
        <v>1</v>
      </c>
      <c r="H76" s="6">
        <f t="shared" si="8"/>
        <v>1</v>
      </c>
      <c r="I76" t="str">
        <f t="shared" si="9"/>
        <v>Low</v>
      </c>
    </row>
    <row r="77" spans="1:9" x14ac:dyDescent="0.3">
      <c r="A77" s="6" t="s">
        <v>82</v>
      </c>
      <c r="B77" s="6">
        <v>41</v>
      </c>
      <c r="C77" s="6">
        <v>1</v>
      </c>
      <c r="D77" s="6">
        <v>0</v>
      </c>
      <c r="E77" s="6">
        <f t="shared" si="5"/>
        <v>0</v>
      </c>
      <c r="F77" s="6">
        <f t="shared" si="6"/>
        <v>0</v>
      </c>
      <c r="G77" s="6">
        <f t="shared" si="7"/>
        <v>0</v>
      </c>
      <c r="H77" s="6">
        <f t="shared" si="8"/>
        <v>0</v>
      </c>
      <c r="I77" t="str">
        <f t="shared" si="9"/>
        <v>Low</v>
      </c>
    </row>
    <row r="78" spans="1:9" x14ac:dyDescent="0.3">
      <c r="A78" s="6" t="s">
        <v>83</v>
      </c>
      <c r="B78" s="6">
        <v>59</v>
      </c>
      <c r="C78" s="6">
        <v>21</v>
      </c>
      <c r="D78" s="6">
        <v>6</v>
      </c>
      <c r="E78" s="6">
        <f t="shared" si="5"/>
        <v>2</v>
      </c>
      <c r="F78" s="6">
        <f t="shared" si="6"/>
        <v>2</v>
      </c>
      <c r="G78" s="6">
        <f t="shared" si="7"/>
        <v>2</v>
      </c>
      <c r="H78" s="6">
        <f t="shared" si="8"/>
        <v>6</v>
      </c>
      <c r="I78" t="str">
        <f t="shared" si="9"/>
        <v>High</v>
      </c>
    </row>
    <row r="79" spans="1:9" x14ac:dyDescent="0.3">
      <c r="A79" s="6" t="s">
        <v>84</v>
      </c>
      <c r="B79" s="6">
        <v>52</v>
      </c>
      <c r="C79" s="6">
        <v>9</v>
      </c>
      <c r="D79" s="6">
        <v>2</v>
      </c>
      <c r="E79" s="6">
        <f t="shared" si="5"/>
        <v>1</v>
      </c>
      <c r="F79" s="6">
        <f t="shared" si="6"/>
        <v>1</v>
      </c>
      <c r="G79" s="6">
        <f t="shared" si="7"/>
        <v>1</v>
      </c>
      <c r="H79" s="6">
        <f t="shared" si="8"/>
        <v>3</v>
      </c>
      <c r="I79" t="str">
        <f t="shared" si="9"/>
        <v>Medium</v>
      </c>
    </row>
    <row r="80" spans="1:9" x14ac:dyDescent="0.3">
      <c r="A80" s="6" t="s">
        <v>85</v>
      </c>
      <c r="B80" s="6">
        <v>65</v>
      </c>
      <c r="C80" s="6">
        <v>17</v>
      </c>
      <c r="D80" s="6">
        <v>6</v>
      </c>
      <c r="E80" s="6">
        <f t="shared" si="5"/>
        <v>2</v>
      </c>
      <c r="F80" s="6">
        <f t="shared" si="6"/>
        <v>2</v>
      </c>
      <c r="G80" s="6">
        <f t="shared" si="7"/>
        <v>2</v>
      </c>
      <c r="H80" s="6">
        <f t="shared" si="8"/>
        <v>6</v>
      </c>
      <c r="I80" t="str">
        <f t="shared" si="9"/>
        <v>High</v>
      </c>
    </row>
    <row r="81" spans="1:9" x14ac:dyDescent="0.3">
      <c r="A81" s="6" t="s">
        <v>86</v>
      </c>
      <c r="B81" s="6">
        <v>61</v>
      </c>
      <c r="C81" s="6">
        <v>22</v>
      </c>
      <c r="D81" s="6">
        <v>2</v>
      </c>
      <c r="E81" s="6">
        <f t="shared" si="5"/>
        <v>2</v>
      </c>
      <c r="F81" s="6">
        <f t="shared" si="6"/>
        <v>2</v>
      </c>
      <c r="G81" s="6">
        <f t="shared" si="7"/>
        <v>1</v>
      </c>
      <c r="H81" s="6">
        <f t="shared" si="8"/>
        <v>5</v>
      </c>
      <c r="I81" t="str">
        <f t="shared" si="9"/>
        <v>High</v>
      </c>
    </row>
    <row r="82" spans="1:9" x14ac:dyDescent="0.3">
      <c r="A82" s="6" t="s">
        <v>87</v>
      </c>
      <c r="B82" s="6">
        <v>40</v>
      </c>
      <c r="C82" s="6">
        <v>2</v>
      </c>
      <c r="D82" s="6">
        <v>1</v>
      </c>
      <c r="E82" s="6">
        <f t="shared" si="5"/>
        <v>0</v>
      </c>
      <c r="F82" s="6">
        <f t="shared" si="6"/>
        <v>0</v>
      </c>
      <c r="G82" s="6">
        <f t="shared" si="7"/>
        <v>1</v>
      </c>
      <c r="H82" s="6">
        <f t="shared" si="8"/>
        <v>1</v>
      </c>
      <c r="I82" t="str">
        <f t="shared" si="9"/>
        <v>Low</v>
      </c>
    </row>
    <row r="83" spans="1:9" x14ac:dyDescent="0.3">
      <c r="A83" s="6" t="s">
        <v>88</v>
      </c>
      <c r="B83" s="6">
        <v>46</v>
      </c>
      <c r="C83" s="6">
        <v>7</v>
      </c>
      <c r="D83" s="6">
        <v>3</v>
      </c>
      <c r="E83" s="6">
        <f t="shared" si="5"/>
        <v>1</v>
      </c>
      <c r="F83" s="6">
        <f t="shared" si="6"/>
        <v>1</v>
      </c>
      <c r="G83" s="6">
        <f t="shared" si="7"/>
        <v>1</v>
      </c>
      <c r="H83" s="6">
        <f t="shared" si="8"/>
        <v>3</v>
      </c>
      <c r="I83" t="str">
        <f t="shared" si="9"/>
        <v>Medium</v>
      </c>
    </row>
    <row r="84" spans="1:9" x14ac:dyDescent="0.3">
      <c r="A84" s="5" t="s">
        <v>89</v>
      </c>
      <c r="B84" s="5">
        <v>38</v>
      </c>
      <c r="C84" s="5">
        <v>5</v>
      </c>
      <c r="D84" s="5">
        <v>0</v>
      </c>
      <c r="E84" s="5">
        <f t="shared" si="5"/>
        <v>0</v>
      </c>
      <c r="F84" s="5">
        <f t="shared" si="6"/>
        <v>0</v>
      </c>
      <c r="G84" s="5">
        <f t="shared" si="7"/>
        <v>0</v>
      </c>
      <c r="H84" s="5">
        <f t="shared" si="8"/>
        <v>0</v>
      </c>
      <c r="I84" t="str">
        <f t="shared" si="9"/>
        <v>Low</v>
      </c>
    </row>
    <row r="85" spans="1:9" x14ac:dyDescent="0.3">
      <c r="A85" s="5" t="s">
        <v>90</v>
      </c>
      <c r="B85" s="5">
        <v>47</v>
      </c>
      <c r="C85" s="5">
        <v>11</v>
      </c>
      <c r="D85" s="5">
        <v>1</v>
      </c>
      <c r="E85" s="5">
        <f t="shared" si="5"/>
        <v>1</v>
      </c>
      <c r="F85" s="5">
        <f t="shared" si="6"/>
        <v>1</v>
      </c>
      <c r="G85" s="5">
        <f t="shared" si="7"/>
        <v>1</v>
      </c>
      <c r="H85" s="5">
        <f t="shared" si="8"/>
        <v>3</v>
      </c>
      <c r="I85" t="str">
        <f t="shared" si="9"/>
        <v>Medium</v>
      </c>
    </row>
  </sheetData>
  <mergeCells count="3">
    <mergeCell ref="K5:L5"/>
    <mergeCell ref="K12:M12"/>
    <mergeCell ref="A1:I1"/>
  </mergeCells>
  <conditionalFormatting sqref="I3:I85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A907C9-E304-49A6-8A47-535BFCBD3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Burnout Tracker</vt:lpstr>
    </vt:vector>
  </TitlesOfParts>
  <Company>VINTAGE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Vintage Systems</dc:creator>
  <cp:lastModifiedBy>Vintage Systems</cp:lastModifiedBy>
  <dcterms:created xsi:type="dcterms:W3CDTF">2026-06-26T21:06:37Z</dcterms:created>
  <dcterms:modified xsi:type="dcterms:W3CDTF">2026-07-15T19:47:58Z</dcterms:modified>
</cp:coreProperties>
</file>